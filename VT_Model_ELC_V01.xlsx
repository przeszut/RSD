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patir\Documents\Studia\MGR sem.2\Integrated Energy Resource Planning\Model_03\"/>
    </mc:Choice>
  </mc:AlternateContent>
  <xr:revisionPtr revIDLastSave="0" documentId="13_ncr:1_{3C466BA7-7752-4705-9ED9-777A93D54EB6}" xr6:coauthVersionLast="47" xr6:coauthVersionMax="47" xr10:uidLastSave="{00000000-0000-0000-0000-000000000000}"/>
  <bookViews>
    <workbookView xWindow="-96" yWindow="0" windowWidth="11712" windowHeight="13776" tabRatio="901" activeTab="5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PP" sheetId="129" r:id="rId5"/>
    <sheet name="RES" sheetId="133" r:id="rId6"/>
    <sheet name="CHP" sheetId="132" r:id="rId7"/>
    <sheet name="HPL" sheetId="141" r:id="rId8"/>
    <sheet name="T&amp;D" sheetId="136" r:id="rId9"/>
    <sheet name="EMI" sheetId="134" r:id="rId10"/>
    <sheet name="SCHEM_ELC" sheetId="139" r:id="rId11"/>
  </sheets>
  <externalReferences>
    <externalReference r:id="rId12"/>
  </externalReferences>
  <definedNames>
    <definedName name="_Order1">0</definedName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7" i="112" l="1"/>
  <c r="D17" i="112"/>
  <c r="J8" i="141"/>
  <c r="H8" i="141"/>
  <c r="F8" i="141"/>
  <c r="E8" i="141"/>
  <c r="D8" i="141"/>
  <c r="C8" i="141"/>
  <c r="B8" i="141"/>
  <c r="H9" i="136"/>
  <c r="F9" i="136"/>
  <c r="E9" i="136"/>
  <c r="D9" i="136"/>
  <c r="C9" i="136"/>
  <c r="B9" i="136"/>
  <c r="D11" i="132"/>
  <c r="D8" i="132"/>
  <c r="D9" i="133"/>
  <c r="D8" i="133"/>
  <c r="E8" i="129"/>
  <c r="D9" i="129"/>
  <c r="D8" i="129"/>
  <c r="F8" i="136" l="1"/>
  <c r="H8" i="136" s="1"/>
  <c r="E9" i="133" l="1"/>
  <c r="E8" i="133"/>
  <c r="P8" i="133"/>
  <c r="H8" i="133"/>
  <c r="L8" i="132" l="1"/>
  <c r="L11" i="132"/>
  <c r="M11" i="132" s="1"/>
  <c r="H9" i="133" l="1"/>
  <c r="P9" i="129" l="1"/>
  <c r="Q9" i="129" s="1"/>
  <c r="P8" i="129"/>
  <c r="Q8" i="129" s="1"/>
  <c r="E45" i="138" l="1"/>
  <c r="E44" i="138"/>
  <c r="B10" i="134" l="1"/>
  <c r="B9" i="134"/>
  <c r="B8" i="134"/>
  <c r="G8" i="132"/>
  <c r="O8" i="132"/>
  <c r="F9" i="129"/>
  <c r="F8" i="129"/>
  <c r="F16" i="138"/>
  <c r="E16" i="138"/>
  <c r="H9" i="129"/>
  <c r="H8" i="129"/>
  <c r="F8" i="132" l="1"/>
  <c r="Q8" i="132" l="1"/>
  <c r="P8" i="132"/>
  <c r="Q9" i="133"/>
  <c r="Q8" i="133"/>
  <c r="S9" i="129"/>
  <c r="S8" i="129"/>
  <c r="R9" i="129"/>
  <c r="R8" i="129"/>
  <c r="B8" i="133" l="1"/>
  <c r="B11" i="134"/>
  <c r="C8" i="136" l="1"/>
  <c r="B8" i="136"/>
  <c r="E13" i="132"/>
  <c r="E9" i="132"/>
  <c r="E12" i="132"/>
  <c r="E9" i="129"/>
  <c r="C11" i="132"/>
  <c r="B11" i="132"/>
  <c r="E8" i="136"/>
  <c r="D8" i="136"/>
  <c r="C9" i="133"/>
  <c r="B9" i="133"/>
  <c r="C8" i="133"/>
  <c r="B9" i="129"/>
  <c r="C9" i="129"/>
  <c r="E10" i="132"/>
  <c r="C8" i="132"/>
  <c r="B8" i="132"/>
  <c r="C8" i="129"/>
  <c r="B8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6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5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B09D32E8-362A-4094-8771-A11DF37D1919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<sst xmlns="http://schemas.openxmlformats.org/spreadsheetml/2006/main" count="666" uniqueCount="305">
  <si>
    <t>Typ jednostki wytwórczej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</si>
  <si>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</si>
  <si>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</si>
  <si>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</si>
  <si>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</si>
  <si>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</si>
  <si>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</si>
  <si>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</si>
  <si>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</si>
  <si>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</si>
  <si>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</si>
  <si>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</si>
  <si>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r>
      <t>Elektrownie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</si>
  <si>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węglu brunatnym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</si>
  <si>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Elektrociepłownie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</si>
  <si>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gazie ziemnym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</si>
  <si>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wiatrowe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</si>
  <si>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słoneczne</t>
    </r>
    <r>
      <rPr>
        <b/>
        <vertAlign val="superscript"/>
        <sz val="10"/>
        <rFont val="Times New Roman"/>
        <family val="1"/>
        <charset val="238"/>
      </rPr>
      <t>1</t>
    </r>
  </si>
  <si>
    <r>
      <t>Ciepłownie</t>
    </r>
    <r>
      <rPr>
        <b/>
        <vertAlign val="superscript"/>
        <sz val="10"/>
        <rFont val="Times New Roman"/>
        <family val="1"/>
        <charset val="238"/>
      </rPr>
      <t>2</t>
    </r>
  </si>
  <si>
    <t>Razem</t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</si>
  <si>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</si>
  <si>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</si>
  <si>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</si>
  <si>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</si>
  <si>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</si>
  <si>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Energia cieplna</t>
  </si>
  <si>
    <t>Jednostka</t>
  </si>
  <si>
    <t>Zapotrzebowanie końcowe</t>
  </si>
  <si>
    <t>[TWh]</t>
  </si>
  <si>
    <t>[PJ]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</si>
  <si>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</si>
  <si>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</si>
  <si>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</si>
  <si>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</si>
  <si>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</si>
  <si>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</si>
  <si>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</si>
  <si>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</si>
  <si>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</si>
  <si>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</si>
  <si>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</si>
  <si>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</si>
  <si>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</si>
  <si>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</si>
  <si>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</si>
  <si>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</si>
  <si>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</si>
  <si>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</si>
  <si>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</si>
  <si>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</si>
  <si>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</si>
  <si>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</si>
  <si>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</si>
  <si>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</si>
  <si>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HEAT_HT</t>
  </si>
  <si>
    <t>High Temperature Heat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</si>
  <si>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</si>
  <si>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</si>
  <si>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</si>
  <si>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</si>
  <si>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</si>
  <si>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</si>
  <si>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</si>
  <si>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</si>
  <si>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</si>
  <si>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</si>
  <si>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</si>
  <si>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</si>
  <si>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</si>
  <si>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</si>
  <si>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</si>
  <si>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</si>
  <si>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</si>
  <si>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</si>
  <si>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</si>
  <si>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</si>
  <si>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</si>
  <si>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</si>
  <si>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</si>
  <si>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</si>
  <si>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</si>
  <si>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</si>
  <si>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</si>
  <si>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</si>
  <si>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</si>
  <si>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</si>
  <si>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</si>
  <si>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</si>
  <si>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</si>
  <si>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PL</t>
  </si>
  <si>
    <t>Existing Onshore Wind Turbines</t>
  </si>
  <si>
    <t>GW</t>
  </si>
  <si>
    <t>Existing Photovoltaics (all Types)</t>
  </si>
  <si>
    <t>Existing Hard Coal Power Plants</t>
  </si>
  <si>
    <t>Existing Brown Coal Power Plants</t>
  </si>
  <si>
    <t>CHP</t>
  </si>
  <si>
    <t>CHP_EX_HC</t>
  </si>
  <si>
    <t>CHP_EX_NAT-GAS</t>
  </si>
  <si>
    <t>HPL</t>
  </si>
  <si>
    <t>PRE</t>
  </si>
  <si>
    <t>TRANSF_HV-LV</t>
  </si>
  <si>
    <t>Electricity Transformation and Distribution High Voltage to Low Voltage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</si>
  <si>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</si>
  <si>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</si>
  <si>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</si>
  <si>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</si>
  <si>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</si>
  <si>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</si>
  <si>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</si>
  <si>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</si>
  <si>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</si>
  <si>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</si>
  <si>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</si>
  <si>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</si>
  <si>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</si>
  <si>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</si>
  <si>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</si>
  <si>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</si>
  <si>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</si>
  <si>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</si>
  <si>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</si>
  <si>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</si>
  <si>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</si>
  <si>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</si>
  <si>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</si>
  <si>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</si>
  <si>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</si>
  <si>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</si>
  <si>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</si>
  <si>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</si>
  <si>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</si>
  <si>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</si>
  <si>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</si>
  <si>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</si>
  <si>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</si>
  <si>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</si>
  <si>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</si>
  <si>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</si>
  <si>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</si>
  <si>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</si>
  <si>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</si>
  <si>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HC</t>
  </si>
  <si>
    <t>BC</t>
  </si>
  <si>
    <t>Renewable Energy Sources</t>
  </si>
  <si>
    <t>*TechDesc</t>
  </si>
  <si>
    <t>WIND-ON</t>
  </si>
  <si>
    <t>SOLAR</t>
  </si>
  <si>
    <t>Combined Heat and Power Plants</t>
  </si>
  <si>
    <t>CHPR~FX</t>
  </si>
  <si>
    <t>CHPR~LO</t>
  </si>
  <si>
    <t>CHPR~UP</t>
  </si>
  <si>
    <t>CEH</t>
  </si>
  <si>
    <t>Heat to Power Factor (FX)</t>
  </si>
  <si>
    <t>Heat to Power Factor (LO)</t>
  </si>
  <si>
    <t>Heat to Power Factor (UP)</t>
  </si>
  <si>
    <t>Electricity Loss per Heat Gained</t>
  </si>
  <si>
    <t>NAT-GAS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</si>
  <si>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</si>
  <si>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</si>
  <si>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</si>
  <si>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</si>
  <si>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</si>
  <si>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</si>
  <si>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STOCK~2020~2021</t>
  </si>
  <si>
    <t>STOCK~2025</t>
  </si>
  <si>
    <t>STOCK~2030</t>
  </si>
  <si>
    <t>STOCK~2035</t>
  </si>
  <si>
    <t>STOCK~2040</t>
  </si>
  <si>
    <t>STOCK~2045</t>
  </si>
  <si>
    <t>`</t>
  </si>
  <si>
    <t>\I: Predefiniowany zbiór dóbr</t>
  </si>
  <si>
    <t>Nazwa dobra</t>
  </si>
  <si>
    <t>Opis sobra</t>
  </si>
  <si>
    <t>Jednostka dobra</t>
  </si>
  <si>
    <t>Poziom podokresów roku - równanie bilansu</t>
  </si>
  <si>
    <t>Oznaczenie dobra "energia elektryczna" dla CHP</t>
  </si>
  <si>
    <t>\I: Predefiniowany zbiór procesów</t>
  </si>
  <si>
    <t>Nazwa regionu</t>
  </si>
  <si>
    <t>Nazwa procesu</t>
  </si>
  <si>
    <t>Opis procesu</t>
  </si>
  <si>
    <t>Jednostka aktywności procesu</t>
  </si>
  <si>
    <t>Jednostka mocy zainstalowanej procesu</t>
  </si>
  <si>
    <t>Moc zainstalowana (w roku po znaku ~)</t>
  </si>
  <si>
    <t>Dobro na wejściu</t>
  </si>
  <si>
    <t>Dobro na wyjściu</t>
  </si>
  <si>
    <t>Przelicznik mocy zainstalowanej na aktywność (produkcję) procesu</t>
  </si>
  <si>
    <t>Dostępność mocy w szczycie zapotrzebowania</t>
  </si>
  <si>
    <t>Roczna dostępność mocy</t>
  </si>
  <si>
    <t>Koszty stałe (niezależne od produkcji)</t>
  </si>
  <si>
    <t>Koszty zmienne niepaliwowe (zależne od produkcji)</t>
  </si>
  <si>
    <t>\I: Nazwa procesu</t>
  </si>
  <si>
    <t>Stosunek produkcji ciepła do produkcji energii elektrycznej (stały)</t>
  </si>
  <si>
    <t>Stosunek produkcji ciepła do produkcji energii elektrycznej (maksymalny)</t>
  </si>
  <si>
    <t>Stosunek produkcji ciepła do produkcji energii elektrycznej (minimalny)</t>
  </si>
  <si>
    <t>Spadek sprawności elektrycznej związany z produkcją ciepła</t>
  </si>
  <si>
    <t>Nazwa dobra (polutanta)</t>
  </si>
  <si>
    <t>Współczynnik emisji polutanta dla danego dobra (paliwa)</t>
  </si>
  <si>
    <t>AFA~2020~2021~FX</t>
  </si>
  <si>
    <t>STOCK~2020</t>
  </si>
  <si>
    <t>PJa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</si>
  <si>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</si>
  <si>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</si>
  <si>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</si>
  <si>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</si>
  <si>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</si>
  <si>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</si>
  <si>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Hard coal fired Electricity only power plants</t>
  </si>
  <si>
    <t>Brown coal fired Electricity only power plants</t>
  </si>
  <si>
    <t>Hard coal fired Combined Heat &amp; Power power plants</t>
  </si>
  <si>
    <t>Natural gas fired Electricity only power plants</t>
  </si>
  <si>
    <t>Onshore Wind Turbines</t>
  </si>
  <si>
    <t>Large Scale Photovoltaics</t>
  </si>
  <si>
    <t>Hard coal fired Heat only plants</t>
  </si>
  <si>
    <t>Total</t>
  </si>
  <si>
    <t>Source / Źródło:</t>
  </si>
  <si>
    <t>Tabela 1: Uproszczony bilans energii dla polskiego systemu elektroenergetycznego w 2020 r.</t>
  </si>
  <si>
    <t>Table 1: Simple energy balance of Polish energy system in 2020</t>
  </si>
  <si>
    <t>Energy carrier</t>
  </si>
  <si>
    <t>Electricity</t>
  </si>
  <si>
    <t>District Heat</t>
  </si>
  <si>
    <t>SN-nn | MV-LV</t>
  </si>
  <si>
    <t>WT-NT | HT-LT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</si>
  <si>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</si>
  <si>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</si>
  <si>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</si>
  <si>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Tabela 3: Zapotrzebowanie na energię końcową w 2020 r.</t>
  </si>
  <si>
    <t>Table 3: Final energy demand in 2020</t>
  </si>
  <si>
    <t>Final energy demand</t>
  </si>
  <si>
    <t>ELEC_HV</t>
  </si>
  <si>
    <t>ELEC_LV</t>
  </si>
  <si>
    <t>Typ równania bilansu dobra</t>
  </si>
  <si>
    <t>Monitorowanie szczytu</t>
  </si>
  <si>
    <t>ELE_EX_WIND-ON</t>
  </si>
  <si>
    <t>ELE_EX_PV</t>
  </si>
  <si>
    <t>ELE_EX_HC</t>
  </si>
  <si>
    <t>ELE_EX_BC</t>
  </si>
  <si>
    <t>Grupa dóbr wyznaczających aktywność</t>
  </si>
  <si>
    <t>Śledzenie rocznika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</si>
  <si>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</si>
  <si>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</si>
  <si>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</si>
  <si>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</si>
  <si>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</si>
  <si>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</si>
  <si>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Rok</t>
  </si>
  <si>
    <t>Alternative Syntax - one process</t>
  </si>
  <si>
    <t>Limit type [(in)equality sing]</t>
  </si>
  <si>
    <t>Znak równania</t>
  </si>
  <si>
    <t>STOCK</t>
  </si>
  <si>
    <t>FX</t>
  </si>
  <si>
    <t>WN-WN | HV-HV</t>
  </si>
  <si>
    <t>ELC_HV</t>
  </si>
  <si>
    <t>&gt;</t>
  </si>
  <si>
    <t>ELC_HV-HV</t>
  </si>
  <si>
    <t>T&amp;D HV</t>
  </si>
  <si>
    <t>ELC_MV</t>
  </si>
  <si>
    <t>ELC_MV-MV</t>
  </si>
  <si>
    <t>SEKTOR-ELC</t>
  </si>
  <si>
    <t>T&amp;D MV</t>
  </si>
  <si>
    <t>Sector</t>
  </si>
  <si>
    <t>Final Energy</t>
  </si>
  <si>
    <t>Fuel</t>
  </si>
  <si>
    <t>Without</t>
  </si>
  <si>
    <t>Consumption</t>
  </si>
  <si>
    <t>Sectoral</t>
  </si>
  <si>
    <t>Process</t>
  </si>
  <si>
    <t>ELC_LV-LV</t>
  </si>
  <si>
    <t>Generation</t>
  </si>
  <si>
    <t>CHPI</t>
  </si>
  <si>
    <t>T&amp;D LV</t>
  </si>
  <si>
    <t>ELC_LV</t>
  </si>
  <si>
    <t>With</t>
  </si>
  <si>
    <t>REN</t>
  </si>
  <si>
    <t>WN-SN | HV-MV</t>
  </si>
  <si>
    <t>* Transmission &amp; Distribution Losses / Straty przesyłu i dystrybucji</t>
  </si>
  <si>
    <t>Hard Coal</t>
  </si>
  <si>
    <t>Brown Coal/Lignite</t>
  </si>
  <si>
    <t>Natural Gas</t>
  </si>
  <si>
    <t>Onshore Wind Energy</t>
  </si>
  <si>
    <t>Solar Energy</t>
  </si>
  <si>
    <t>Copy from SUP</t>
  </si>
  <si>
    <t>No tag - won't be read by Veda</t>
  </si>
  <si>
    <t>Existing Natural Gas CHPs - pass-out turbine</t>
  </si>
  <si>
    <t>Existing Hard Coal CHPs - backpressure turbine</t>
  </si>
  <si>
    <t>You can always complecate your system</t>
  </si>
  <si>
    <t>Total input</t>
  </si>
  <si>
    <t>Total output</t>
  </si>
  <si>
    <t>Pumping</t>
  </si>
  <si>
    <t>Own needs</t>
  </si>
  <si>
    <t>Losses</t>
  </si>
  <si>
    <t>Flow values in GWh</t>
  </si>
  <si>
    <t>District heating network</t>
  </si>
  <si>
    <t>HEAT_DH</t>
  </si>
  <si>
    <t>District Heating</t>
  </si>
  <si>
    <t>TRANSF_HT-DH</t>
  </si>
  <si>
    <t xml:space="preserve"> Heat Only Plants</t>
  </si>
  <si>
    <t>HPL_EX_HC</t>
  </si>
  <si>
    <t>Existing Hard Coal Heating Plants</t>
  </si>
  <si>
    <t>~TFM_INS</t>
  </si>
  <si>
    <t>Attribute</t>
  </si>
  <si>
    <t>COM_PKRSV</t>
  </si>
  <si>
    <t>Cset_CN</t>
  </si>
  <si>
    <t>\I:</t>
  </si>
  <si>
    <t>Value in Region</t>
  </si>
  <si>
    <t>COM_PKFLX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</si>
</sst>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\Te\x\t"/>
    <numFmt numFmtId="167" formatCode="#,##0___)"/>
    <numFmt numFmtId="168" formatCode="#,##0.000___)"/>
    <numFmt numFmtId="169" formatCode="0.0%"/>
  </numFmts>
  <fonts count="41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rgb="FFFF0000"/>
      <name val="Arial"/>
      <family val="2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1"/>
      <name val="Arial"/>
      <family val="2"/>
      <charset val="238"/>
    </font>
    <font>
      <b/>
      <vertAlign val="superscript"/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2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2F0E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rgb="FFC0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indexed="64"/>
      </right>
      <top/>
      <bottom style="thick">
        <color rgb="FFFF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C00000"/>
      </right>
      <top/>
      <bottom style="thick">
        <color rgb="FF0070C0"/>
      </bottom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 style="thick">
        <color rgb="FF0070C0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mediumDashDot">
        <color auto="1"/>
      </left>
      <right style="thick">
        <color indexed="64"/>
      </right>
      <top/>
      <bottom style="thick">
        <color rgb="FFFF0000"/>
      </bottom>
      <diagonal/>
    </border>
    <border>
      <left style="thick">
        <color indexed="64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indexed="64"/>
      </right>
      <top/>
      <bottom style="thick">
        <color rgb="FFFFC000"/>
      </bottom>
      <diagonal/>
    </border>
    <border>
      <left/>
      <right style="mediumDashDot">
        <color auto="1"/>
      </right>
      <top/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mediumDashDot">
        <color auto="1"/>
      </left>
      <right/>
      <top/>
      <bottom/>
      <diagonal/>
    </border>
    <border>
      <left style="thick">
        <color rgb="FFC00000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 style="thick">
        <color indexed="64"/>
      </right>
      <top/>
      <bottom style="thick">
        <color rgb="FF0070C0"/>
      </bottom>
      <diagonal/>
    </border>
    <border>
      <left/>
      <right style="thick">
        <color rgb="FF00B0F0"/>
      </right>
      <top/>
      <bottom/>
      <diagonal/>
    </border>
    <border>
      <left/>
      <right style="thick">
        <color rgb="FFFF0000"/>
      </right>
      <top/>
      <bottom style="thick">
        <color rgb="FF00B0F0"/>
      </bottom>
      <diagonal/>
    </border>
    <border>
      <left style="mediumDashDot">
        <color auto="1"/>
      </left>
      <right style="thick">
        <color indexed="64"/>
      </right>
      <top/>
      <bottom style="thick">
        <color rgb="FF00B0F0"/>
      </bottom>
      <diagonal/>
    </border>
    <border>
      <left style="thick">
        <color rgb="FFC00000"/>
      </left>
      <right style="thick">
        <color rgb="FF0070C0"/>
      </right>
      <top style="thick">
        <color rgb="FF0070C0"/>
      </top>
      <bottom/>
      <diagonal/>
    </border>
    <border>
      <left/>
      <right/>
      <top style="thick">
        <color rgb="FF0070C0"/>
      </top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70C0"/>
      </left>
      <right/>
      <top/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/>
      <bottom style="thick">
        <color rgb="FF92D050"/>
      </bottom>
      <diagonal/>
    </border>
    <border>
      <left style="thick">
        <color rgb="FF00B0F0"/>
      </left>
      <right style="thick">
        <color rgb="FFFF0000"/>
      </right>
      <top/>
      <bottom style="thick">
        <color rgb="FF92D050"/>
      </bottom>
      <diagonal/>
    </border>
    <border>
      <left/>
      <right/>
      <top/>
      <bottom style="thick">
        <color rgb="FF92D050"/>
      </bottom>
      <diagonal/>
    </border>
    <border>
      <left style="mediumDashDot">
        <color auto="1"/>
      </left>
      <right style="thick">
        <color indexed="64"/>
      </right>
      <top/>
      <bottom style="thick">
        <color rgb="FF92D050"/>
      </bottom>
      <diagonal/>
    </border>
    <border>
      <left/>
      <right style="thick">
        <color rgb="FF92D050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/>
      <right style="thick">
        <color indexed="64"/>
      </right>
      <top/>
      <bottom style="thick">
        <color rgb="FF00B0F0"/>
      </bottom>
      <diagonal/>
    </border>
    <border>
      <left style="thick">
        <color indexed="64"/>
      </left>
      <right/>
      <top/>
      <bottom style="thick">
        <color rgb="FF92D050"/>
      </bottom>
      <diagonal/>
    </border>
    <border>
      <left/>
      <right style="thick">
        <color rgb="FF92D050"/>
      </right>
      <top/>
      <bottom style="thick">
        <color rgb="FF92D050"/>
      </bottom>
      <diagonal/>
    </border>
    <border>
      <left/>
      <right style="thick">
        <color rgb="FF92D050"/>
      </right>
      <top style="thick">
        <color rgb="FF92D050"/>
      </top>
      <bottom/>
      <diagonal/>
    </border>
    <border>
      <left/>
      <right/>
      <top/>
      <bottom style="thick">
        <color rgb="FF00B050"/>
      </bottom>
      <diagonal/>
    </border>
    <border>
      <left/>
      <right style="thick">
        <color indexed="64"/>
      </right>
      <top/>
      <bottom style="thick">
        <color rgb="FF00B050"/>
      </bottom>
      <diagonal/>
    </border>
    <border>
      <left/>
      <right style="thick">
        <color rgb="FF00B050"/>
      </right>
      <top/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/>
      <bottom/>
      <diagonal/>
    </border>
    <border>
      <left style="mediumDashDot">
        <color auto="1"/>
      </left>
      <right/>
      <top/>
      <bottom style="thick">
        <color rgb="FF92D050"/>
      </bottom>
      <diagonal/>
    </border>
    <border>
      <left style="thick">
        <color rgb="FF00B050"/>
      </left>
      <right/>
      <top/>
      <bottom/>
      <diagonal/>
    </border>
    <border>
      <left/>
      <right style="thick">
        <color rgb="FFC00000"/>
      </right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indexed="64"/>
      </left>
      <right/>
      <top/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mediumDashDot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6" fillId="0" borderId="0" applyFont="0" applyFill="0" applyBorder="0" applyAlignment="0" applyProtection="0"/>
    <xf numFmtId="0" fontId="25" fillId="0" borderId="0"/>
    <xf numFmtId="0" fontId="26" fillId="0" borderId="0"/>
  </cellStyleXfs>
  <cellXfs count="30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23" fillId="5" borderId="99" xfId="7" applyFill="1" applyBorder="1"/>
    <xf numFmtId="0" fontId="39" fillId="5" borderId="87" xfId="7" applyFont="1" applyFill="1" applyBorder="1"/>
    <xf numFmtId="0" fontId="23" fillId="5" borderId="98" xfId="7" applyFill="1" applyBorder="1"/>
    <xf numFmtId="3" fontId="23" fillId="5" borderId="63" xfId="7" applyNumberFormat="1" applyFill="1" applyBorder="1"/>
    <xf numFmtId="0" fontId="23" fillId="5" borderId="97" xfId="7" applyFill="1" applyBorder="1"/>
    <xf numFmtId="0" fontId="39" fillId="5" borderId="96" xfId="7" applyFont="1" applyFill="1" applyBorder="1"/>
    <xf numFmtId="0" fontId="23" fillId="5" borderId="93" xfId="7" applyFill="1" applyBorder="1"/>
    <xf numFmtId="0" fontId="23" fillId="5" borderId="95" xfId="7" applyFill="1" applyBorder="1"/>
    <xf numFmtId="0" fontId="23" fillId="5" borderId="87" xfId="7" applyFill="1" applyBorder="1"/>
    <xf numFmtId="0" fontId="39" fillId="5" borderId="94" xfId="7" applyFont="1" applyFill="1" applyBorder="1"/>
    <xf numFmtId="3" fontId="16" fillId="5" borderId="87" xfId="5" applyNumberFormat="1" applyFill="1" applyBorder="1"/>
    <xf numFmtId="3" fontId="23" fillId="5" borderId="93" xfId="7" applyNumberFormat="1" applyFill="1" applyBorder="1"/>
    <xf numFmtId="0" fontId="39" fillId="5" borderId="0" xfId="7" applyFont="1" applyFill="1" applyAlignment="1">
      <alignment horizontal="right"/>
    </xf>
    <xf numFmtId="3" fontId="23" fillId="5" borderId="43" xfId="7" applyNumberFormat="1" applyFill="1" applyBorder="1"/>
    <xf numFmtId="0" fontId="23" fillId="5" borderId="92" xfId="7" applyFill="1" applyBorder="1"/>
    <xf numFmtId="0" fontId="23" fillId="5" borderId="77" xfId="7" applyFill="1" applyBorder="1"/>
    <xf numFmtId="0" fontId="23" fillId="5" borderId="91" xfId="7" applyFill="1" applyBorder="1"/>
    <xf numFmtId="0" fontId="23" fillId="5" borderId="69" xfId="7" applyFill="1" applyBorder="1"/>
    <xf numFmtId="0" fontId="23" fillId="5" borderId="90" xfId="7" applyFill="1" applyBorder="1"/>
    <xf numFmtId="0" fontId="23" fillId="5" borderId="60" xfId="7" applyFill="1" applyBorder="1"/>
    <xf numFmtId="0" fontId="39" fillId="5" borderId="59" xfId="7" applyFont="1" applyFill="1" applyBorder="1" applyAlignment="1">
      <alignment horizontal="right"/>
    </xf>
    <xf numFmtId="0" fontId="39" fillId="5" borderId="59" xfId="7" applyFont="1" applyFill="1" applyBorder="1"/>
    <xf numFmtId="0" fontId="23" fillId="5" borderId="89" xfId="7" applyFill="1" applyBorder="1"/>
    <xf numFmtId="3" fontId="23" fillId="5" borderId="88" xfId="7" applyNumberFormat="1" applyFill="1" applyBorder="1"/>
    <xf numFmtId="0" fontId="39" fillId="20" borderId="87" xfId="5" applyFont="1" applyFill="1" applyBorder="1"/>
    <xf numFmtId="0" fontId="39" fillId="5" borderId="87" xfId="7" applyFont="1" applyFill="1" applyBorder="1" applyAlignment="1">
      <alignment horizontal="right"/>
    </xf>
    <xf numFmtId="0" fontId="23" fillId="5" borderId="86" xfId="7" applyFill="1" applyBorder="1"/>
    <xf numFmtId="3" fontId="23" fillId="5" borderId="85" xfId="7" applyNumberFormat="1" applyFill="1" applyBorder="1"/>
    <xf numFmtId="0" fontId="39" fillId="5" borderId="77" xfId="7" applyFont="1" applyFill="1" applyBorder="1"/>
    <xf numFmtId="3" fontId="23" fillId="5" borderId="84" xfId="7" applyNumberFormat="1" applyFill="1" applyBorder="1"/>
    <xf numFmtId="3" fontId="23" fillId="5" borderId="83" xfId="7" applyNumberFormat="1" applyFill="1" applyBorder="1"/>
    <xf numFmtId="0" fontId="23" fillId="5" borderId="82" xfId="7" applyFill="1" applyBorder="1"/>
    <xf numFmtId="0" fontId="23" fillId="5" borderId="81" xfId="7" applyFill="1" applyBorder="1"/>
    <xf numFmtId="0" fontId="23" fillId="5" borderId="80" xfId="7" applyFill="1" applyBorder="1"/>
    <xf numFmtId="0" fontId="23" fillId="5" borderId="79" xfId="7" applyFill="1" applyBorder="1"/>
    <xf numFmtId="3" fontId="23" fillId="5" borderId="78" xfId="7" applyNumberFormat="1" applyFill="1" applyBorder="1"/>
    <xf numFmtId="0" fontId="39" fillId="19" borderId="77" xfId="5" applyFont="1" applyFill="1" applyBorder="1"/>
    <xf numFmtId="0" fontId="39" fillId="5" borderId="77" xfId="7" applyFont="1" applyFill="1" applyBorder="1" applyAlignment="1">
      <alignment horizontal="right"/>
    </xf>
    <xf numFmtId="0" fontId="23" fillId="5" borderId="76" xfId="7" applyFill="1" applyBorder="1"/>
    <xf numFmtId="0" fontId="23" fillId="5" borderId="75" xfId="7" applyFill="1" applyBorder="1"/>
    <xf numFmtId="0" fontId="23" fillId="5" borderId="74" xfId="7" applyFill="1" applyBorder="1"/>
    <xf numFmtId="0" fontId="23" fillId="5" borderId="73" xfId="7" applyFill="1" applyBorder="1"/>
    <xf numFmtId="0" fontId="23" fillId="5" borderId="72" xfId="7" applyFill="1" applyBorder="1"/>
    <xf numFmtId="0" fontId="23" fillId="5" borderId="71" xfId="7" applyFill="1" applyBorder="1"/>
    <xf numFmtId="0" fontId="23" fillId="5" borderId="70" xfId="7" applyFill="1" applyBorder="1"/>
    <xf numFmtId="0" fontId="23" fillId="7" borderId="0" xfId="7" applyFill="1"/>
    <xf numFmtId="0" fontId="39" fillId="5" borderId="0" xfId="7" applyFont="1" applyFill="1"/>
    <xf numFmtId="3" fontId="23" fillId="5" borderId="69" xfId="7" applyNumberFormat="1" applyFill="1" applyBorder="1"/>
    <xf numFmtId="0" fontId="39" fillId="5" borderId="56" xfId="7" applyFont="1" applyFill="1" applyBorder="1" applyAlignment="1">
      <alignment horizontal="right"/>
    </xf>
    <xf numFmtId="0" fontId="23" fillId="5" borderId="68" xfId="7" applyFill="1" applyBorder="1"/>
    <xf numFmtId="0" fontId="23" fillId="5" borderId="67" xfId="7" applyFill="1" applyBorder="1"/>
    <xf numFmtId="3" fontId="23" fillId="5" borderId="66" xfId="7" applyNumberFormat="1" applyFill="1" applyBorder="1"/>
    <xf numFmtId="0" fontId="39" fillId="5" borderId="43" xfId="7" applyFont="1" applyFill="1" applyBorder="1" applyAlignment="1">
      <alignment horizontal="right"/>
    </xf>
    <xf numFmtId="0" fontId="23" fillId="5" borderId="65" xfId="7" applyFill="1" applyBorder="1"/>
    <xf numFmtId="0" fontId="23" fillId="5" borderId="64" xfId="7" applyFill="1" applyBorder="1"/>
    <xf numFmtId="0" fontId="23" fillId="5" borderId="63" xfId="7" applyFill="1" applyBorder="1"/>
    <xf numFmtId="0" fontId="23" fillId="5" borderId="62" xfId="7" applyFill="1" applyBorder="1"/>
    <xf numFmtId="0" fontId="23" fillId="5" borderId="61" xfId="7" applyFill="1" applyBorder="1"/>
    <xf numFmtId="0" fontId="39" fillId="5" borderId="60" xfId="7" applyFont="1" applyFill="1" applyBorder="1"/>
    <xf numFmtId="0" fontId="39" fillId="18" borderId="59" xfId="7" applyFont="1" applyFill="1" applyBorder="1"/>
    <xf numFmtId="0" fontId="23" fillId="5" borderId="58" xfId="7" applyFill="1" applyBorder="1"/>
    <xf numFmtId="3" fontId="23" fillId="5" borderId="57" xfId="7" applyNumberFormat="1" applyFill="1" applyBorder="1"/>
    <xf numFmtId="0" fontId="23" fillId="5" borderId="56" xfId="7" applyFill="1" applyBorder="1"/>
    <xf numFmtId="0" fontId="39" fillId="5" borderId="56" xfId="7" applyFont="1" applyFill="1" applyBorder="1"/>
    <xf numFmtId="0" fontId="39" fillId="17" borderId="56" xfId="5" applyFont="1" applyFill="1" applyBorder="1"/>
    <xf numFmtId="3" fontId="23" fillId="5" borderId="55" xfId="7" applyNumberFormat="1" applyFill="1" applyBorder="1"/>
    <xf numFmtId="3" fontId="23" fillId="5" borderId="31" xfId="7" applyNumberFormat="1" applyFill="1" applyBorder="1"/>
    <xf numFmtId="0" fontId="39" fillId="5" borderId="54" xfId="7" applyFont="1" applyFill="1" applyBorder="1" applyAlignment="1">
      <alignment horizontal="right"/>
    </xf>
    <xf numFmtId="0" fontId="39" fillId="5" borderId="53" xfId="7" applyFont="1" applyFill="1" applyBorder="1"/>
    <xf numFmtId="0" fontId="23" fillId="5" borderId="52" xfId="7" applyFill="1" applyBorder="1"/>
    <xf numFmtId="0" fontId="23" fillId="5" borderId="51" xfId="7" applyFill="1" applyBorder="1"/>
    <xf numFmtId="0" fontId="23" fillId="5" borderId="50" xfId="7" applyFill="1" applyBorder="1"/>
    <xf numFmtId="0" fontId="23" fillId="5" borderId="49" xfId="7" applyFill="1" applyBorder="1"/>
    <xf numFmtId="0" fontId="23" fillId="5" borderId="48" xfId="7" applyFill="1" applyBorder="1"/>
    <xf numFmtId="3" fontId="23" fillId="5" borderId="0" xfId="7" applyNumberFormat="1" applyFill="1"/>
    <xf numFmtId="3" fontId="23" fillId="5" borderId="47" xfId="7" applyNumberFormat="1" applyFill="1" applyBorder="1"/>
    <xf numFmtId="0" fontId="23" fillId="5" borderId="46" xfId="7" applyFill="1" applyBorder="1"/>
    <xf numFmtId="0" fontId="23" fillId="5" borderId="45" xfId="7" applyFill="1" applyBorder="1"/>
    <xf numFmtId="0" fontId="23" fillId="5" borderId="43" xfId="7" applyFill="1" applyBorder="1"/>
    <xf numFmtId="0" fontId="39" fillId="5" borderId="44" xfId="7" applyFont="1" applyFill="1" applyBorder="1"/>
    <xf numFmtId="0" fontId="39" fillId="16" borderId="43" xfId="7" applyFont="1" applyFill="1" applyBorder="1"/>
    <xf numFmtId="169" fontId="23" fillId="5" borderId="43" xfId="6" applyNumberFormat="1" applyFont="1" applyFill="1" applyBorder="1"/>
    <xf numFmtId="0" fontId="23" fillId="5" borderId="42" xfId="7" applyFill="1" applyBorder="1"/>
    <xf numFmtId="0" fontId="23" fillId="5" borderId="41" xfId="7" applyFill="1" applyBorder="1"/>
    <xf numFmtId="0" fontId="23" fillId="5" borderId="40" xfId="7" applyFill="1" applyBorder="1"/>
    <xf numFmtId="0" fontId="23" fillId="5" borderId="39" xfId="7" applyFill="1" applyBorder="1"/>
    <xf numFmtId="0" fontId="23" fillId="5" borderId="37" xfId="7" applyFill="1" applyBorder="1"/>
    <xf numFmtId="0" fontId="23" fillId="5" borderId="38" xfId="7" applyFill="1" applyBorder="1"/>
    <xf numFmtId="0" fontId="16" fillId="5" borderId="37" xfId="5" applyFill="1" applyBorder="1"/>
    <xf numFmtId="0" fontId="16" fillId="5" borderId="0" xfId="5" applyFill="1"/>
    <xf numFmtId="0" fontId="39" fillId="5" borderId="0" xfId="7" applyFont="1" applyFill="1" applyAlignment="1">
      <alignment wrapText="1"/>
    </xf>
    <xf numFmtId="0" fontId="23" fillId="5" borderId="36" xfId="7" applyFill="1" applyBorder="1"/>
    <xf numFmtId="169" fontId="23" fillId="5" borderId="0" xfId="6" applyNumberFormat="1" applyFont="1" applyFill="1" applyBorder="1"/>
    <xf numFmtId="0" fontId="23" fillId="5" borderId="35" xfId="7" applyFill="1" applyBorder="1"/>
    <xf numFmtId="0" fontId="39" fillId="5" borderId="0" xfId="7" applyFont="1" applyFill="1" applyAlignment="1">
      <alignment vertical="center"/>
    </xf>
    <xf numFmtId="0" fontId="23" fillId="5" borderId="34" xfId="7" applyFill="1" applyBorder="1"/>
    <xf numFmtId="3" fontId="23" fillId="5" borderId="33" xfId="7" applyNumberFormat="1" applyFill="1" applyBorder="1"/>
    <xf numFmtId="0" fontId="39" fillId="5" borderId="31" xfId="7" applyFont="1" applyFill="1" applyBorder="1" applyAlignment="1">
      <alignment horizontal="right"/>
    </xf>
    <xf numFmtId="0" fontId="23" fillId="5" borderId="31" xfId="7" applyFill="1" applyBorder="1"/>
    <xf numFmtId="0" fontId="39" fillId="5" borderId="32" xfId="7" applyFont="1" applyFill="1" applyBorder="1"/>
    <xf numFmtId="0" fontId="39" fillId="15" borderId="31" xfId="5" applyFont="1" applyFill="1" applyBorder="1"/>
    <xf numFmtId="0" fontId="16" fillId="5" borderId="31" xfId="5" applyFill="1" applyBorder="1"/>
    <xf numFmtId="3" fontId="23" fillId="5" borderId="30" xfId="7" applyNumberFormat="1" applyFill="1" applyBorder="1"/>
    <xf numFmtId="0" fontId="39" fillId="5" borderId="30" xfId="7" applyFont="1" applyFill="1" applyBorder="1" applyAlignment="1">
      <alignment horizontal="right"/>
    </xf>
    <xf numFmtId="0" fontId="23" fillId="5" borderId="30" xfId="7" applyFill="1" applyBorder="1"/>
    <xf numFmtId="0" fontId="39" fillId="5" borderId="30" xfId="7" applyFont="1" applyFill="1" applyBorder="1"/>
    <xf numFmtId="0" fontId="39" fillId="14" borderId="30" xfId="7" applyFont="1" applyFill="1" applyBorder="1"/>
    <xf numFmtId="169" fontId="23" fillId="5" borderId="30" xfId="6" applyNumberFormat="1" applyFont="1" applyFill="1" applyBorder="1"/>
    <xf numFmtId="0" fontId="23" fillId="5" borderId="29" xfId="7" applyFill="1" applyBorder="1"/>
    <xf numFmtId="0" fontId="23" fillId="5" borderId="28" xfId="7" applyFill="1" applyBorder="1"/>
    <xf numFmtId="0" fontId="23" fillId="5" borderId="27" xfId="7" applyFill="1" applyBorder="1"/>
    <xf numFmtId="0" fontId="38" fillId="5" borderId="0" xfId="7" applyFont="1" applyFill="1"/>
    <xf numFmtId="0" fontId="23" fillId="5" borderId="0" xfId="7" applyFill="1"/>
    <xf numFmtId="0" fontId="37" fillId="5" borderId="0" xfId="7" applyFont="1" applyFill="1"/>
    <xf numFmtId="164" fontId="16" fillId="9" borderId="7" xfId="0" applyNumberFormat="1" applyFont="1" applyFill="1" applyBorder="1"/>
    <xf numFmtId="0" fontId="16" fillId="9" borderId="7" xfId="0" applyFont="1" applyFill="1" applyBorder="1"/>
    <xf numFmtId="2" fontId="16" fillId="10" borderId="0" xfId="0" applyNumberFormat="1" applyFont="1" applyFill="1"/>
    <xf numFmtId="164" fontId="16" fillId="9" borderId="0" xfId="0" applyNumberFormat="1" applyFont="1" applyFill="1"/>
    <xf numFmtId="165" fontId="16" fillId="9" borderId="0" xfId="0" applyNumberFormat="1" applyFont="1" applyFill="1"/>
    <xf numFmtId="0" fontId="16" fillId="9" borderId="0" xfId="0" applyFont="1" applyFill="1"/>
    <xf numFmtId="164" fontId="16" fillId="10" borderId="0" xfId="0" applyNumberFormat="1" applyFont="1" applyFill="1"/>
    <xf numFmtId="0" fontId="16" fillId="10" borderId="0" xfId="0" applyFont="1" applyFill="1"/>
    <xf numFmtId="2" fontId="16" fillId="9" borderId="26" xfId="0" applyNumberFormat="1" applyFont="1" applyFill="1" applyBorder="1"/>
    <xf numFmtId="164" fontId="16" fillId="9" borderId="26" xfId="0" applyNumberFormat="1" applyFont="1" applyFill="1" applyBorder="1"/>
    <xf numFmtId="0" fontId="16" fillId="9" borderId="26" xfId="0" applyFont="1" applyFill="1" applyBorder="1"/>
    <xf numFmtId="166" fontId="16" fillId="13" borderId="7" xfId="1" applyNumberFormat="1" applyFont="1" applyFill="1" applyBorder="1" applyAlignment="1">
      <alignment vertical="center" wrapText="1"/>
    </xf>
    <xf numFmtId="166" fontId="16" fillId="13" borderId="25" xfId="1" applyNumberFormat="1" applyFont="1" applyFill="1" applyBorder="1" applyAlignment="1">
      <alignment vertical="center" wrapText="1"/>
    </xf>
    <xf numFmtId="0" fontId="16" fillId="13" borderId="7" xfId="0" applyFont="1" applyFill="1" applyBorder="1" applyAlignment="1">
      <alignment horizontal="center" vertical="center" wrapText="1"/>
    </xf>
    <xf numFmtId="166" fontId="16" fillId="13" borderId="7" xfId="1" applyNumberFormat="1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center" wrapText="1"/>
    </xf>
    <xf numFmtId="166" fontId="16" fillId="13" borderId="25" xfId="1" applyNumberFormat="1" applyFont="1" applyFill="1" applyBorder="1" applyAlignment="1">
      <alignment horizontal="center" vertical="center" wrapText="1"/>
    </xf>
    <xf numFmtId="166" fontId="21" fillId="12" borderId="24" xfId="0" applyNumberFormat="1" applyFont="1" applyFill="1" applyBorder="1" applyAlignment="1">
      <alignment horizontal="center" vertical="center" wrapText="1"/>
    </xf>
    <xf numFmtId="0" fontId="21" fillId="12" borderId="24" xfId="0" applyFont="1" applyFill="1" applyBorder="1" applyAlignment="1">
      <alignment horizontal="center" vertical="center"/>
    </xf>
    <xf numFmtId="166" fontId="21" fillId="12" borderId="24" xfId="0" applyNumberFormat="1" applyFont="1" applyFill="1" applyBorder="1" applyAlignment="1">
      <alignment horizontal="center" vertical="center"/>
    </xf>
    <xf numFmtId="166" fontId="4" fillId="3" borderId="6" xfId="1" applyNumberFormat="1" applyFill="1" applyBorder="1" applyAlignment="1">
      <alignment horizontal="center" vertical="center" wrapText="1"/>
    </xf>
    <xf numFmtId="166" fontId="4" fillId="3" borderId="4" xfId="1" applyNumberForma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21" fillId="0" borderId="0" xfId="0" applyFont="1" applyAlignment="1">
      <alignment wrapText="1"/>
    </xf>
    <xf numFmtId="0" fontId="0" fillId="5" borderId="0" xfId="0" applyFill="1"/>
    <xf numFmtId="0" fontId="4" fillId="5" borderId="0" xfId="0" applyFont="1" applyFill="1"/>
    <xf numFmtId="0" fontId="22" fillId="0" borderId="0" xfId="0" applyFont="1" applyAlignment="1">
      <alignment horizontal="left"/>
    </xf>
    <xf numFmtId="164" fontId="4" fillId="5" borderId="0" xfId="0" applyNumberFormat="1" applyFont="1" applyFill="1"/>
    <xf numFmtId="0" fontId="18" fillId="6" borderId="0" xfId="4" applyFont="1" applyFill="1" applyAlignment="1">
      <alignment horizontal="left"/>
    </xf>
    <xf numFmtId="166" fontId="0" fillId="5" borderId="0" xfId="0" applyNumberFormat="1" applyFill="1"/>
    <xf numFmtId="166" fontId="16" fillId="5" borderId="0" xfId="0" applyNumberFormat="1" applyFont="1" applyFill="1"/>
    <xf numFmtId="0" fontId="4" fillId="5" borderId="6" xfId="0" applyFont="1" applyFill="1" applyBorder="1"/>
    <xf numFmtId="165" fontId="0" fillId="0" borderId="0" xfId="0" applyNumberFormat="1"/>
    <xf numFmtId="0" fontId="18" fillId="6" borderId="6" xfId="4" applyFont="1" applyFill="1" applyBorder="1" applyAlignment="1">
      <alignment horizontal="left"/>
    </xf>
    <xf numFmtId="0" fontId="13" fillId="0" borderId="0" xfId="2" applyFont="1" applyAlignment="1">
      <alignment horizontal="center"/>
    </xf>
    <xf numFmtId="0" fontId="24" fillId="5" borderId="0" xfId="0" applyFont="1" applyFill="1"/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164" fontId="24" fillId="5" borderId="0" xfId="0" applyNumberFormat="1" applyFont="1" applyFill="1"/>
    <xf numFmtId="0" fontId="28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18" fillId="8" borderId="0" xfId="4" applyFont="1" applyFill="1" applyAlignment="1">
      <alignment horizontal="left"/>
    </xf>
    <xf numFmtId="0" fontId="0" fillId="7" borderId="0" xfId="0" applyFill="1"/>
    <xf numFmtId="0" fontId="24" fillId="7" borderId="0" xfId="0" applyFont="1" applyFill="1"/>
    <xf numFmtId="164" fontId="24" fillId="7" borderId="0" xfId="0" applyNumberFormat="1" applyFont="1" applyFill="1"/>
    <xf numFmtId="0" fontId="0" fillId="7" borderId="6" xfId="0" applyFill="1" applyBorder="1"/>
    <xf numFmtId="0" fontId="4" fillId="7" borderId="6" xfId="0" applyFont="1" applyFill="1" applyBorder="1"/>
    <xf numFmtId="0" fontId="2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30" fillId="0" borderId="1" xfId="9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 vertical="center"/>
    </xf>
    <xf numFmtId="0" fontId="17" fillId="0" borderId="0" xfId="0" applyFont="1"/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/>
    </xf>
    <xf numFmtId="0" fontId="27" fillId="0" borderId="10" xfId="10" applyFont="1" applyBorder="1" applyAlignment="1">
      <alignment horizontal="left" vertical="center"/>
    </xf>
    <xf numFmtId="167" fontId="30" fillId="0" borderId="11" xfId="9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2" xfId="0" applyFont="1" applyBorder="1" applyAlignment="1">
      <alignment horizontal="left"/>
    </xf>
    <xf numFmtId="167" fontId="30" fillId="0" borderId="2" xfId="9" applyNumberFormat="1" applyFont="1" applyBorder="1" applyAlignment="1">
      <alignment horizontal="center" vertical="center"/>
    </xf>
    <xf numFmtId="167" fontId="27" fillId="0" borderId="2" xfId="9" applyNumberFormat="1" applyFont="1" applyBorder="1" applyAlignment="1">
      <alignment horizontal="center" vertical="center"/>
    </xf>
    <xf numFmtId="167" fontId="30" fillId="0" borderId="13" xfId="9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30" fillId="0" borderId="10" xfId="0" applyFont="1" applyBorder="1"/>
    <xf numFmtId="164" fontId="30" fillId="0" borderId="11" xfId="0" applyNumberFormat="1" applyFont="1" applyBorder="1" applyAlignment="1">
      <alignment horizontal="center" vertical="center"/>
    </xf>
    <xf numFmtId="0" fontId="30" fillId="0" borderId="12" xfId="0" applyFont="1" applyBorder="1"/>
    <xf numFmtId="0" fontId="30" fillId="0" borderId="2" xfId="0" applyFont="1" applyBorder="1" applyAlignment="1">
      <alignment horizontal="center"/>
    </xf>
    <xf numFmtId="164" fontId="30" fillId="0" borderId="13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4" fontId="31" fillId="5" borderId="0" xfId="0" applyNumberFormat="1" applyFont="1" applyFill="1"/>
    <xf numFmtId="2" fontId="31" fillId="5" borderId="0" xfId="0" applyNumberFormat="1" applyFont="1" applyFill="1"/>
    <xf numFmtId="0" fontId="31" fillId="5" borderId="0" xfId="0" applyFont="1" applyFill="1"/>
    <xf numFmtId="0" fontId="31" fillId="7" borderId="0" xfId="0" applyFont="1" applyFill="1"/>
    <xf numFmtId="164" fontId="31" fillId="7" borderId="0" xfId="0" applyNumberFormat="1" applyFont="1" applyFill="1"/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2" fontId="31" fillId="7" borderId="0" xfId="0" applyNumberFormat="1" applyFont="1" applyFill="1"/>
    <xf numFmtId="2" fontId="0" fillId="5" borderId="0" xfId="0" applyNumberFormat="1" applyFill="1"/>
    <xf numFmtId="2" fontId="18" fillId="5" borderId="0" xfId="0" applyNumberFormat="1" applyFont="1" applyFill="1" applyAlignment="1">
      <alignment horizontal="right"/>
    </xf>
    <xf numFmtId="2" fontId="18" fillId="7" borderId="0" xfId="0" applyNumberFormat="1" applyFont="1" applyFill="1" applyAlignment="1">
      <alignment horizontal="right"/>
    </xf>
    <xf numFmtId="2" fontId="18" fillId="5" borderId="6" xfId="0" applyNumberFormat="1" applyFont="1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9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4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4" fillId="3" borderId="6" xfId="1" quotePrefix="1" applyNumberFormat="1" applyFill="1" applyBorder="1" applyAlignment="1">
      <alignment horizontal="center" vertical="center" wrapText="1"/>
    </xf>
    <xf numFmtId="0" fontId="4" fillId="3" borderId="6" xfId="1" quotePrefix="1" applyFill="1" applyBorder="1" applyAlignment="1">
      <alignment horizontal="center" vertical="center" wrapText="1"/>
    </xf>
    <xf numFmtId="166" fontId="2" fillId="2" borderId="4" xfId="0" applyNumberFormat="1" applyFont="1" applyFill="1" applyBorder="1" applyAlignment="1">
      <alignment horizontal="center" vertical="center" wrapText="1"/>
    </xf>
    <xf numFmtId="0" fontId="27" fillId="0" borderId="15" xfId="10" applyFont="1" applyBorder="1" applyAlignment="1">
      <alignment horizontal="left" vertical="center"/>
    </xf>
    <xf numFmtId="0" fontId="27" fillId="0" borderId="15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30" fillId="0" borderId="15" xfId="0" applyFont="1" applyBorder="1"/>
    <xf numFmtId="0" fontId="30" fillId="0" borderId="16" xfId="0" applyFont="1" applyBorder="1"/>
    <xf numFmtId="0" fontId="27" fillId="0" borderId="1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/>
    </xf>
    <xf numFmtId="0" fontId="35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16" fillId="5" borderId="6" xfId="0" applyNumberFormat="1" applyFont="1" applyFill="1" applyBorder="1"/>
    <xf numFmtId="166" fontId="4" fillId="5" borderId="6" xfId="0" applyNumberFormat="1" applyFont="1" applyFill="1" applyBorder="1"/>
    <xf numFmtId="166" fontId="0" fillId="5" borderId="6" xfId="0" applyNumberFormat="1" applyFill="1" applyBorder="1" applyAlignment="1">
      <alignment horizontal="left"/>
    </xf>
    <xf numFmtId="166" fontId="0" fillId="5" borderId="6" xfId="0" applyNumberFormat="1" applyFill="1" applyBorder="1"/>
    <xf numFmtId="166" fontId="2" fillId="2" borderId="100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1" fillId="5" borderId="0" xfId="7" applyFont="1" applyFill="1"/>
    <xf numFmtId="166" fontId="4" fillId="3" borderId="0" xfId="1" applyNumberFormat="1" applyFill="1" applyAlignment="1">
      <alignment horizontal="center" vertical="center" wrapText="1"/>
    </xf>
    <xf numFmtId="166" fontId="40" fillId="9" borderId="14" xfId="0" applyNumberFormat="1" applyFont="1" applyFill="1" applyBorder="1" applyAlignment="1">
      <alignment horizontal="left"/>
    </xf>
    <xf numFmtId="166" fontId="40" fillId="9" borderId="0" xfId="0" applyNumberFormat="1" applyFont="1" applyFill="1" applyAlignment="1">
      <alignment horizontal="left"/>
    </xf>
    <xf numFmtId="166" fontId="40" fillId="21" borderId="0" xfId="0" applyNumberFormat="1" applyFont="1" applyFill="1" applyAlignment="1">
      <alignment horizontal="left"/>
    </xf>
    <xf numFmtId="166" fontId="40" fillId="9" borderId="101" xfId="0" applyNumberFormat="1" applyFont="1" applyFill="1" applyBorder="1" applyAlignment="1">
      <alignment horizontal="left"/>
    </xf>
    <xf numFmtId="0" fontId="40" fillId="9" borderId="14" xfId="0" applyFont="1" applyFill="1" applyBorder="1"/>
    <xf numFmtId="164" fontId="40" fillId="9" borderId="14" xfId="0" applyNumberFormat="1" applyFont="1" applyFill="1" applyBorder="1"/>
    <xf numFmtId="0" fontId="40" fillId="21" borderId="101" xfId="0" applyFont="1" applyFill="1" applyBorder="1"/>
    <xf numFmtId="166" fontId="40" fillId="9" borderId="14" xfId="0" applyNumberFormat="1" applyFont="1" applyFill="1" applyBorder="1"/>
    <xf numFmtId="166" fontId="40" fillId="21" borderId="0" xfId="0" applyNumberFormat="1" applyFont="1" applyFill="1"/>
    <xf numFmtId="166" fontId="40" fillId="9" borderId="0" xfId="0" applyNumberFormat="1" applyFont="1" applyFill="1"/>
    <xf numFmtId="166" fontId="40" fillId="9" borderId="101" xfId="0" applyNumberFormat="1" applyFont="1" applyFill="1" applyBorder="1"/>
    <xf numFmtId="169" fontId="0" fillId="0" borderId="0" xfId="8" applyNumberFormat="1" applyFont="1"/>
    <xf numFmtId="0" fontId="27" fillId="0" borderId="20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33" fillId="11" borderId="3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33" fillId="11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  <xf numFmtId="166" fontId="4" fillId="3" borderId="6" xfId="1" applyNumberFormat="1" applyFill="1" applyBorder="1" applyAlignment="1">
      <alignment horizontal="center" vertical="center" wrapText="1"/>
    </xf>
    <xf numFmtId="3" fontId="23" fillId="5" borderId="0" xfId="7" applyNumberFormat="1" applyFill="1" applyAlignment="1">
      <alignment horizontal="right"/>
    </xf>
    <xf numFmtId="169" fontId="23" fillId="5" borderId="0" xfId="6" applyNumberFormat="1" applyFont="1" applyFill="1" applyAlignment="1">
      <alignment horizontal="right"/>
    </xf>
    <xf numFmtId="9" fontId="0" fillId="0" borderId="0" xfId="0" applyNumberFormat="1"/>
  </cellXfs>
  <cellStyles count="11">
    <cellStyle name="Normal 10" xfId="1" xr:uid="{00000000-0005-0000-0000-000016030000}"/>
    <cellStyle name="Normal 2" xfId="5" xr:uid="{A7260F85-B5B3-45B4-BDA7-1B7692316576}"/>
    <cellStyle name="Normal 3" xfId="2" xr:uid="{00000000-0005-0000-0000-00001B030000}"/>
    <cellStyle name="Normal 4" xfId="3" xr:uid="{00000000-0005-0000-0000-00001F030000}"/>
    <cellStyle name="Normalny" xfId="0" builtinId="0"/>
    <cellStyle name="Normalny 2" xfId="4" xr:uid="{00000000-0005-0000-0000-000091030000}"/>
    <cellStyle name="Normalny 43" xfId="7" xr:uid="{25509E4F-049A-4BCD-9F3D-F29DF0A232D3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rocentowy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464820</xdr:colOff>
      <xdr:row>45</xdr:row>
      <xdr:rowOff>117459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B316DDA-4ED1-0117-2F7E-0E7BFFCFD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6820" cy="76612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</xdr:colOff>
      <xdr:row>11</xdr:row>
      <xdr:rowOff>139700</xdr:rowOff>
    </xdr:from>
    <xdr:to>
      <xdr:col>14</xdr:col>
      <xdr:colOff>254000</xdr:colOff>
      <xdr:row>20</xdr:row>
      <xdr:rowOff>0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8083550" y="2997200"/>
          <a:ext cx="3371850" cy="1289050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8</xdr:col>
      <xdr:colOff>171450</xdr:colOff>
      <xdr:row>9</xdr:row>
      <xdr:rowOff>76200</xdr:rowOff>
    </xdr:from>
    <xdr:to>
      <xdr:col>14</xdr:col>
      <xdr:colOff>38100</xdr:colOff>
      <xdr:row>12</xdr:row>
      <xdr:rowOff>114300</xdr:rowOff>
    </xdr:to>
    <xdr:sp macro="" textlink="">
      <xdr:nvSpPr>
        <xdr:cNvPr id="4" name="Nawias klamrowy zamykający 3">
          <a:extLst>
            <a:ext uri="{FF2B5EF4-FFF2-40B4-BE49-F238E27FC236}">
              <a16:creationId xmlns:a16="http://schemas.microsoft.com/office/drawing/2014/main" id="{00D7E911-8141-7126-80BF-7B3D5FB3387F}"/>
            </a:ext>
          </a:extLst>
        </xdr:cNvPr>
        <xdr:cNvSpPr/>
      </xdr:nvSpPr>
      <xdr:spPr bwMode="auto">
        <a:xfrm rot="5400000">
          <a:off x="9467850" y="1358900"/>
          <a:ext cx="514350" cy="3028950"/>
        </a:xfrm>
        <a:prstGeom prst="righ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585305</xdr:colOff>
      <xdr:row>15</xdr:row>
      <xdr:rowOff>132521</xdr:rowOff>
    </xdr:from>
    <xdr:to>
      <xdr:col>13</xdr:col>
      <xdr:colOff>1010478</xdr:colOff>
      <xdr:row>23</xdr:row>
      <xdr:rowOff>140528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530EC54C-DA33-40C6-9934-4779B0DC18A6}"/>
            </a:ext>
          </a:extLst>
        </xdr:cNvPr>
        <xdr:cNvSpPr/>
      </xdr:nvSpPr>
      <xdr:spPr bwMode="auto">
        <a:xfrm>
          <a:off x="11772348" y="4218608"/>
          <a:ext cx="3097695" cy="1289050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You can take advantage of the built-in TIMES interpolation/extrapolation feature and specify data points for only some of the modelling years.</a:t>
          </a:r>
        </a:p>
      </xdr:txBody>
    </xdr:sp>
    <xdr:clientData/>
  </xdr:twoCellAnchor>
  <xdr:twoCellAnchor>
    <xdr:from>
      <xdr:col>11</xdr:col>
      <xdr:colOff>408607</xdr:colOff>
      <xdr:row>13</xdr:row>
      <xdr:rowOff>38652</xdr:rowOff>
    </xdr:from>
    <xdr:to>
      <xdr:col>13</xdr:col>
      <xdr:colOff>95460</xdr:colOff>
      <xdr:row>16</xdr:row>
      <xdr:rowOff>72611</xdr:rowOff>
    </xdr:to>
    <xdr:sp macro="" textlink="">
      <xdr:nvSpPr>
        <xdr:cNvPr id="3" name="Nawias klamrowy zamykający 2">
          <a:extLst>
            <a:ext uri="{FF2B5EF4-FFF2-40B4-BE49-F238E27FC236}">
              <a16:creationId xmlns:a16="http://schemas.microsoft.com/office/drawing/2014/main" id="{488DBFE8-0723-44E7-833E-C3C2F4C9BF88}"/>
            </a:ext>
          </a:extLst>
        </xdr:cNvPr>
        <xdr:cNvSpPr/>
      </xdr:nvSpPr>
      <xdr:spPr bwMode="auto">
        <a:xfrm rot="5400000">
          <a:off x="12970946" y="3334748"/>
          <a:ext cx="514350" cy="1453809"/>
        </a:xfrm>
        <a:prstGeom prst="righ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l-PL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50"/>
  <sheetViews>
    <sheetView topLeftCell="B1" zoomScale="130" zoomScaleNormal="130" workbookViewId="0">
      <selection activeCell="D15" sqref="D15"/>
    </sheetView>
  </sheetViews>
  <sheetFormatPr defaultRowHeight="13.2" x14ac:dyDescent="0.25"/>
  <cols>
    <col min="1" max="1" width="2.88671875" customWidth="1"/>
    <col min="2" max="2" width="36.5546875" customWidth="1"/>
    <col min="3" max="3" width="49.44140625" customWidth="1"/>
    <col min="4" max="4" width="15" customWidth="1"/>
    <col min="5" max="5" width="14.88671875" customWidth="1"/>
    <col min="6" max="6" width="10.6640625" customWidth="1"/>
    <col min="7" max="7" width="10" customWidth="1"/>
    <col min="8" max="8" width="12" customWidth="1"/>
    <col min="9" max="9" width="11" customWidth="1"/>
    <col min="10" max="10" width="10.5546875" customWidth="1"/>
  </cols>
  <sheetData>
    <row r="2" spans="2:10" ht="15" x14ac:dyDescent="0.25">
      <c r="B2" s="185" t="s">
        <v>238</v>
      </c>
      <c r="C2" s="185"/>
    </row>
    <row r="4" spans="2:10" x14ac:dyDescent="0.25">
      <c r="B4" s="200" t="s">
        <v>215</v>
      </c>
      <c r="C4" s="200"/>
    </row>
    <row r="5" spans="2:10" ht="13.8" thickBot="1" x14ac:dyDescent="0.3">
      <c r="B5" s="200" t="s">
        <v>216</v>
      </c>
      <c r="C5" s="200"/>
    </row>
    <row r="6" spans="2:10" ht="52.8" x14ac:dyDescent="0.25">
      <c r="B6" s="293" t="s">
        <v>0</v>
      </c>
      <c r="C6" s="296" t="s">
        <v>200</v>
      </c>
      <c r="D6" s="203" t="s">
        <v>1</v>
      </c>
      <c r="E6" s="203" t="s">
        <v>2</v>
      </c>
      <c r="F6" s="203" t="s">
        <v>3</v>
      </c>
      <c r="G6" s="203" t="s">
        <v>4</v>
      </c>
      <c r="H6" s="203" t="s">
        <v>5</v>
      </c>
      <c r="I6" s="203" t="s">
        <v>4</v>
      </c>
      <c r="J6" s="204" t="s">
        <v>5</v>
      </c>
    </row>
    <row r="7" spans="2:10" ht="52.8" x14ac:dyDescent="0.25">
      <c r="B7" s="294"/>
      <c r="C7" s="297"/>
      <c r="D7" s="139" t="s">
        <v>201</v>
      </c>
      <c r="E7" s="139" t="s">
        <v>202</v>
      </c>
      <c r="F7" s="139" t="s">
        <v>203</v>
      </c>
      <c r="G7" s="139" t="s">
        <v>204</v>
      </c>
      <c r="H7" s="139" t="s">
        <v>205</v>
      </c>
      <c r="I7" s="139" t="s">
        <v>204</v>
      </c>
      <c r="J7" s="139" t="s">
        <v>205</v>
      </c>
    </row>
    <row r="8" spans="2:10" ht="15.6" x14ac:dyDescent="0.25">
      <c r="B8" s="295"/>
      <c r="C8" s="298"/>
      <c r="D8" s="199" t="s">
        <v>6</v>
      </c>
      <c r="E8" s="199" t="s">
        <v>7</v>
      </c>
      <c r="F8" s="199" t="s">
        <v>8</v>
      </c>
      <c r="G8" s="199" t="s">
        <v>60</v>
      </c>
      <c r="H8" s="199" t="s">
        <v>9</v>
      </c>
      <c r="I8" s="199" t="s">
        <v>10</v>
      </c>
      <c r="J8" s="205" t="s">
        <v>11</v>
      </c>
    </row>
    <row r="9" spans="2:10" ht="15.6" x14ac:dyDescent="0.25">
      <c r="B9" s="206" t="s">
        <v>12</v>
      </c>
      <c r="C9" s="257" t="s">
        <v>206</v>
      </c>
      <c r="D9" s="198">
        <v>17023.8</v>
      </c>
      <c r="E9" s="198">
        <v>47860</v>
      </c>
      <c r="F9" s="198"/>
      <c r="G9" s="198">
        <v>20996.9</v>
      </c>
      <c r="H9" s="198">
        <v>21688.2</v>
      </c>
      <c r="I9" s="198"/>
      <c r="J9" s="207"/>
    </row>
    <row r="10" spans="2:10" ht="15.6" x14ac:dyDescent="0.25">
      <c r="B10" s="206" t="s">
        <v>13</v>
      </c>
      <c r="C10" s="257" t="s">
        <v>207</v>
      </c>
      <c r="D10" s="198">
        <v>7391.2</v>
      </c>
      <c r="E10" s="198">
        <v>34351.700000000004</v>
      </c>
      <c r="F10" s="198"/>
      <c r="G10" s="198">
        <v>45266.6</v>
      </c>
      <c r="H10" s="198">
        <v>7935.8</v>
      </c>
      <c r="I10" s="198"/>
      <c r="J10" s="207"/>
    </row>
    <row r="11" spans="2:10" ht="15.6" x14ac:dyDescent="0.25">
      <c r="B11" s="206" t="s">
        <v>14</v>
      </c>
      <c r="C11" s="257" t="s">
        <v>208</v>
      </c>
      <c r="D11" s="198">
        <v>4094.6000000000022</v>
      </c>
      <c r="E11" s="198">
        <v>16259.8</v>
      </c>
      <c r="F11" s="198">
        <v>137017.29999999999</v>
      </c>
      <c r="G11" s="198">
        <v>11204.8</v>
      </c>
      <c r="H11" s="198">
        <v>21089.599999999999</v>
      </c>
      <c r="I11" s="198"/>
      <c r="J11" s="207"/>
    </row>
    <row r="12" spans="2:10" ht="15.6" x14ac:dyDescent="0.25">
      <c r="B12" s="206" t="s">
        <v>15</v>
      </c>
      <c r="C12" s="257" t="s">
        <v>209</v>
      </c>
      <c r="D12" s="198">
        <v>1656.5</v>
      </c>
      <c r="E12" s="198">
        <v>7464.6</v>
      </c>
      <c r="F12" s="198">
        <v>17571.3</v>
      </c>
      <c r="G12" s="198"/>
      <c r="H12" s="198"/>
      <c r="I12" s="198">
        <v>2109.5030000000002</v>
      </c>
      <c r="J12" s="207">
        <v>32467</v>
      </c>
    </row>
    <row r="13" spans="2:10" ht="15.6" x14ac:dyDescent="0.25">
      <c r="B13" s="206" t="s">
        <v>16</v>
      </c>
      <c r="C13" s="257" t="s">
        <v>210</v>
      </c>
      <c r="D13" s="198">
        <v>6227.6934486274804</v>
      </c>
      <c r="E13" s="198">
        <v>15623.048922000018</v>
      </c>
      <c r="F13" s="198"/>
      <c r="G13" s="198"/>
      <c r="H13" s="198"/>
      <c r="I13" s="198"/>
      <c r="J13" s="207"/>
    </row>
    <row r="14" spans="2:10" ht="15.6" x14ac:dyDescent="0.25">
      <c r="B14" s="206" t="s">
        <v>17</v>
      </c>
      <c r="C14" s="257" t="s">
        <v>211</v>
      </c>
      <c r="D14" s="198">
        <v>3954.96</v>
      </c>
      <c r="E14" s="198">
        <v>1957.92</v>
      </c>
      <c r="F14" s="198"/>
      <c r="G14" s="198"/>
      <c r="H14" s="198"/>
      <c r="I14" s="198"/>
      <c r="J14" s="207"/>
    </row>
    <row r="15" spans="2:10" ht="15.6" x14ac:dyDescent="0.25">
      <c r="B15" s="208" t="s">
        <v>18</v>
      </c>
      <c r="C15" s="258" t="s">
        <v>212</v>
      </c>
      <c r="D15" s="198">
        <v>19806</v>
      </c>
      <c r="E15" s="198"/>
      <c r="F15" s="198">
        <v>81695</v>
      </c>
      <c r="G15" s="198">
        <v>4227</v>
      </c>
      <c r="H15" s="198">
        <v>22840</v>
      </c>
      <c r="I15" s="198"/>
      <c r="J15" s="207"/>
    </row>
    <row r="16" spans="2:10" ht="13.8" thickBot="1" x14ac:dyDescent="0.3">
      <c r="B16" s="209" t="s">
        <v>19</v>
      </c>
      <c r="C16" s="259" t="s">
        <v>213</v>
      </c>
      <c r="D16" s="210"/>
      <c r="E16" s="211">
        <f>SUM(E9:E15)</f>
        <v>123517.06892200003</v>
      </c>
      <c r="F16" s="211">
        <f>SUM(F9:F15)</f>
        <v>236283.59999999998</v>
      </c>
      <c r="G16" s="210"/>
      <c r="H16" s="210"/>
      <c r="I16" s="210"/>
      <c r="J16" s="212"/>
    </row>
    <row r="17" spans="2:7" ht="15.6" customHeight="1" x14ac:dyDescent="0.25">
      <c r="B17" s="202" t="s">
        <v>214</v>
      </c>
      <c r="C17" s="202"/>
    </row>
    <row r="18" spans="2:7" x14ac:dyDescent="0.25">
      <c r="B18" s="202" t="s">
        <v>20</v>
      </c>
      <c r="C18" s="202"/>
    </row>
    <row r="19" spans="2:7" x14ac:dyDescent="0.25">
      <c r="B19" s="264" t="s">
        <v>240</v>
      </c>
      <c r="C19" s="202"/>
    </row>
    <row r="20" spans="2:7" x14ac:dyDescent="0.25">
      <c r="B20" s="202" t="s">
        <v>241</v>
      </c>
      <c r="C20" s="202"/>
    </row>
    <row r="21" spans="2:7" x14ac:dyDescent="0.25">
      <c r="B21" s="200"/>
      <c r="C21" s="200"/>
      <c r="D21" s="200"/>
      <c r="E21" s="200"/>
      <c r="F21" s="200"/>
    </row>
    <row r="22" spans="2:7" x14ac:dyDescent="0.25">
      <c r="B22" s="200"/>
      <c r="C22" s="200"/>
      <c r="D22" s="200"/>
      <c r="E22" s="200"/>
      <c r="F22" s="200"/>
    </row>
    <row r="23" spans="2:7" ht="15" x14ac:dyDescent="0.25">
      <c r="B23" s="185" t="s">
        <v>274</v>
      </c>
      <c r="C23" s="185"/>
      <c r="D23" s="200"/>
      <c r="E23" s="200"/>
      <c r="F23" s="200"/>
    </row>
    <row r="25" spans="2:7" x14ac:dyDescent="0.25">
      <c r="B25" s="200" t="s">
        <v>224</v>
      </c>
      <c r="C25" s="200"/>
      <c r="D25" s="200"/>
      <c r="E25" s="200"/>
      <c r="F25" s="200"/>
    </row>
    <row r="26" spans="2:7" ht="13.8" thickBot="1" x14ac:dyDescent="0.3">
      <c r="B26" s="200" t="s">
        <v>223</v>
      </c>
      <c r="C26" s="200"/>
      <c r="D26" s="200"/>
      <c r="E26" s="200"/>
      <c r="F26" s="200"/>
    </row>
    <row r="27" spans="2:7" ht="31.65" customHeight="1" x14ac:dyDescent="0.25">
      <c r="B27" s="291" t="s">
        <v>21</v>
      </c>
      <c r="C27" s="289" t="s">
        <v>217</v>
      </c>
      <c r="D27" s="203" t="s">
        <v>22</v>
      </c>
      <c r="E27" s="213" t="s">
        <v>23</v>
      </c>
      <c r="F27" s="200"/>
    </row>
    <row r="28" spans="2:7" ht="31.65" customHeight="1" x14ac:dyDescent="0.25">
      <c r="B28" s="292"/>
      <c r="C28" s="290"/>
      <c r="D28" s="139" t="s">
        <v>222</v>
      </c>
      <c r="E28" s="263" t="s">
        <v>134</v>
      </c>
      <c r="F28" s="200"/>
    </row>
    <row r="29" spans="2:7" x14ac:dyDescent="0.25">
      <c r="B29" s="214" t="s">
        <v>24</v>
      </c>
      <c r="C29" s="260" t="s">
        <v>218</v>
      </c>
      <c r="D29" s="199" t="s">
        <v>250</v>
      </c>
      <c r="E29" s="215">
        <v>0.97706171756374371</v>
      </c>
      <c r="F29" s="200"/>
      <c r="G29" s="2"/>
    </row>
    <row r="30" spans="2:7" x14ac:dyDescent="0.25">
      <c r="B30" s="214" t="s">
        <v>24</v>
      </c>
      <c r="C30" s="260" t="s">
        <v>218</v>
      </c>
      <c r="D30" s="199" t="s">
        <v>273</v>
      </c>
      <c r="E30" s="215">
        <v>0.9764416403645515</v>
      </c>
      <c r="F30" s="200"/>
      <c r="G30" s="2"/>
    </row>
    <row r="31" spans="2:7" x14ac:dyDescent="0.25">
      <c r="B31" s="214" t="s">
        <v>24</v>
      </c>
      <c r="C31" s="260" t="s">
        <v>218</v>
      </c>
      <c r="D31" s="199" t="s">
        <v>220</v>
      </c>
      <c r="E31" s="215">
        <v>0.9515253427786764</v>
      </c>
      <c r="F31" s="200"/>
      <c r="G31" s="142"/>
    </row>
    <row r="32" spans="2:7" ht="13.8" thickBot="1" x14ac:dyDescent="0.3">
      <c r="B32" s="216" t="s">
        <v>25</v>
      </c>
      <c r="C32" s="261" t="s">
        <v>219</v>
      </c>
      <c r="D32" s="217" t="s">
        <v>221</v>
      </c>
      <c r="E32" s="218">
        <v>0.85899999999999999</v>
      </c>
      <c r="F32" s="200"/>
    </row>
    <row r="33" spans="2:16" x14ac:dyDescent="0.25">
      <c r="B33" s="202" t="s">
        <v>214</v>
      </c>
      <c r="C33" s="200"/>
      <c r="D33" s="200"/>
      <c r="E33" s="201"/>
      <c r="F33" s="200"/>
      <c r="O33" s="142"/>
      <c r="P33" s="142"/>
    </row>
    <row r="34" spans="2:16" x14ac:dyDescent="0.25">
      <c r="B34" s="264" t="s">
        <v>20</v>
      </c>
      <c r="C34" s="200"/>
      <c r="D34" s="200"/>
      <c r="E34" s="201"/>
      <c r="F34" s="200"/>
    </row>
    <row r="35" spans="2:16" x14ac:dyDescent="0.25">
      <c r="B35" s="264" t="s">
        <v>240</v>
      </c>
      <c r="C35" s="200"/>
      <c r="D35" s="200"/>
      <c r="E35" s="201"/>
      <c r="F35" s="200"/>
    </row>
    <row r="36" spans="2:16" x14ac:dyDescent="0.25">
      <c r="B36" s="200"/>
      <c r="C36" s="200"/>
      <c r="D36" s="200"/>
      <c r="E36" s="201"/>
      <c r="F36" s="200"/>
    </row>
    <row r="37" spans="2:16" x14ac:dyDescent="0.25">
      <c r="B37" s="200"/>
      <c r="C37" s="200"/>
      <c r="D37" s="200"/>
      <c r="E37" s="201"/>
      <c r="F37" s="200"/>
    </row>
    <row r="38" spans="2:16" ht="15" x14ac:dyDescent="0.25">
      <c r="B38" s="185" t="s">
        <v>239</v>
      </c>
      <c r="C38" s="185"/>
      <c r="D38" s="200"/>
      <c r="E38" s="201"/>
      <c r="F38" s="200"/>
    </row>
    <row r="39" spans="2:16" x14ac:dyDescent="0.25">
      <c r="B39" s="200"/>
      <c r="C39" s="200"/>
      <c r="D39" s="200"/>
      <c r="E39" s="201"/>
      <c r="F39" s="200"/>
    </row>
    <row r="40" spans="2:16" x14ac:dyDescent="0.25">
      <c r="B40" s="200" t="s">
        <v>226</v>
      </c>
      <c r="C40" s="200"/>
      <c r="D40" s="200"/>
      <c r="E40" s="201"/>
      <c r="F40" s="200"/>
    </row>
    <row r="41" spans="2:16" ht="13.8" thickBot="1" x14ac:dyDescent="0.3">
      <c r="B41" s="200" t="s">
        <v>225</v>
      </c>
      <c r="C41" s="200"/>
      <c r="D41" s="200"/>
      <c r="E41" s="201"/>
      <c r="F41" s="200"/>
    </row>
    <row r="42" spans="2:16" ht="24.75" customHeight="1" x14ac:dyDescent="0.25">
      <c r="B42" s="291" t="s">
        <v>21</v>
      </c>
      <c r="C42" s="289" t="s">
        <v>217</v>
      </c>
      <c r="D42" s="219" t="s">
        <v>26</v>
      </c>
      <c r="E42" s="204" t="s">
        <v>27</v>
      </c>
      <c r="F42" s="200"/>
    </row>
    <row r="43" spans="2:16" ht="24.75" customHeight="1" x14ac:dyDescent="0.25">
      <c r="B43" s="292"/>
      <c r="C43" s="290"/>
      <c r="D43" s="140" t="s">
        <v>35</v>
      </c>
      <c r="E43" s="262" t="s">
        <v>227</v>
      </c>
      <c r="F43" s="200"/>
    </row>
    <row r="44" spans="2:16" x14ac:dyDescent="0.25">
      <c r="B44" s="214" t="s">
        <v>24</v>
      </c>
      <c r="C44" s="260" t="s">
        <v>218</v>
      </c>
      <c r="D44" s="199" t="s">
        <v>28</v>
      </c>
      <c r="E44" s="215">
        <f>SUM(E9:E14)*E29/1000</f>
        <v>120.68379950936867</v>
      </c>
      <c r="F44" s="200"/>
    </row>
    <row r="45" spans="2:16" ht="13.8" thickBot="1" x14ac:dyDescent="0.3">
      <c r="B45" s="216" t="s">
        <v>25</v>
      </c>
      <c r="C45" s="261" t="s">
        <v>219</v>
      </c>
      <c r="D45" s="217" t="s">
        <v>29</v>
      </c>
      <c r="E45" s="218">
        <f>SUM(F9:F15)*E32/1000</f>
        <v>202.96761239999998</v>
      </c>
      <c r="F45" s="200"/>
    </row>
    <row r="46" spans="2:16" x14ac:dyDescent="0.25">
      <c r="B46" s="202" t="s">
        <v>214</v>
      </c>
      <c r="C46" s="200"/>
      <c r="D46" s="200"/>
      <c r="E46" s="200"/>
      <c r="F46" s="200"/>
    </row>
    <row r="47" spans="2:16" x14ac:dyDescent="0.25">
      <c r="B47" s="264" t="s">
        <v>20</v>
      </c>
      <c r="C47" s="200"/>
      <c r="D47" s="200"/>
      <c r="E47" s="200"/>
      <c r="F47" s="200"/>
    </row>
    <row r="48" spans="2:16" x14ac:dyDescent="0.25">
      <c r="B48" s="264" t="s">
        <v>240</v>
      </c>
    </row>
    <row r="50" spans="2:3" x14ac:dyDescent="0.25">
      <c r="B50" s="200"/>
      <c r="C50" s="200"/>
    </row>
  </sheetData>
  <mergeCells count="6">
    <mergeCell ref="C42:C43"/>
    <mergeCell ref="B42:B43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workbookViewId="0">
      <selection activeCell="Z31" sqref="Z31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34"/>
  <sheetViews>
    <sheetView topLeftCell="A6" zoomScaleNormal="100" workbookViewId="0">
      <selection activeCell="I20" sqref="I20"/>
    </sheetView>
  </sheetViews>
  <sheetFormatPr defaultRowHeight="13.2" x14ac:dyDescent="0.25"/>
  <cols>
    <col min="1" max="1" width="2.88671875" customWidth="1"/>
    <col min="2" max="2" width="14.5546875" customWidth="1"/>
    <col min="3" max="3" width="13.6640625" customWidth="1"/>
    <col min="4" max="4" width="42.6640625" customWidth="1"/>
    <col min="5" max="5" width="9.33203125" customWidth="1"/>
    <col min="6" max="6" width="13.44140625" customWidth="1"/>
    <col min="7" max="7" width="11.109375" customWidth="1"/>
    <col min="8" max="8" width="14.109375" customWidth="1"/>
    <col min="9" max="9" width="13.44140625" customWidth="1"/>
    <col min="10" max="10" width="10.44140625" customWidth="1"/>
    <col min="11" max="12" width="10.6640625" bestFit="1" customWidth="1"/>
  </cols>
  <sheetData>
    <row r="2" spans="2:9" ht="17.399999999999999" x14ac:dyDescent="0.3">
      <c r="B2" s="247" t="s">
        <v>30</v>
      </c>
      <c r="C2" s="248"/>
      <c r="D2" s="248"/>
      <c r="E2" s="161"/>
      <c r="F2" s="161"/>
      <c r="G2" s="161"/>
      <c r="H2" s="161"/>
      <c r="I2" s="161"/>
    </row>
    <row r="3" spans="2:9" ht="17.399999999999999" customHeight="1" x14ac:dyDescent="0.25">
      <c r="B3" s="162"/>
      <c r="C3" s="161"/>
      <c r="D3" s="161"/>
      <c r="E3" s="161"/>
      <c r="F3" s="161"/>
      <c r="G3" s="161"/>
      <c r="H3" s="161"/>
      <c r="I3" s="161"/>
    </row>
    <row r="4" spans="2:9" ht="17.399999999999999" customHeight="1" x14ac:dyDescent="0.25">
      <c r="B4" s="162" t="s">
        <v>31</v>
      </c>
      <c r="C4" s="161"/>
      <c r="D4" s="161"/>
      <c r="E4" s="161"/>
      <c r="F4" s="161"/>
      <c r="G4" s="161"/>
      <c r="H4" s="161"/>
      <c r="I4" s="161"/>
    </row>
    <row r="5" spans="2:9" ht="15.75" customHeight="1" x14ac:dyDescent="0.25">
      <c r="B5" s="253" t="s">
        <v>32</v>
      </c>
      <c r="C5" s="253" t="s">
        <v>33</v>
      </c>
      <c r="D5" s="253" t="s">
        <v>34</v>
      </c>
      <c r="E5" s="253" t="s">
        <v>35</v>
      </c>
      <c r="F5" s="253" t="s">
        <v>36</v>
      </c>
      <c r="G5" s="253" t="s">
        <v>37</v>
      </c>
      <c r="H5" s="253" t="s">
        <v>38</v>
      </c>
      <c r="I5" s="253" t="s">
        <v>39</v>
      </c>
    </row>
    <row r="6" spans="2:9" ht="39.75" customHeight="1" x14ac:dyDescent="0.25">
      <c r="B6" s="138" t="s">
        <v>40</v>
      </c>
      <c r="C6" s="138" t="s">
        <v>41</v>
      </c>
      <c r="D6" s="138" t="s">
        <v>42</v>
      </c>
      <c r="E6" s="138" t="s">
        <v>35</v>
      </c>
      <c r="F6" s="138" t="s">
        <v>43</v>
      </c>
      <c r="G6" s="138" t="s">
        <v>44</v>
      </c>
      <c r="H6" s="138" t="s">
        <v>45</v>
      </c>
      <c r="I6" s="138" t="s">
        <v>46</v>
      </c>
    </row>
    <row r="7" spans="2:9" ht="66.599999999999994" thickBot="1" x14ac:dyDescent="0.3">
      <c r="B7" s="137" t="s">
        <v>170</v>
      </c>
      <c r="C7" s="137" t="s">
        <v>171</v>
      </c>
      <c r="D7" s="137" t="s">
        <v>172</v>
      </c>
      <c r="E7" s="137" t="s">
        <v>173</v>
      </c>
      <c r="F7" s="254" t="s">
        <v>230</v>
      </c>
      <c r="G7" s="137" t="s">
        <v>174</v>
      </c>
      <c r="H7" s="254" t="s">
        <v>231</v>
      </c>
      <c r="I7" s="137" t="s">
        <v>175</v>
      </c>
    </row>
    <row r="8" spans="2:9" ht="18.75" customHeight="1" x14ac:dyDescent="0.25">
      <c r="B8" s="277" t="s">
        <v>47</v>
      </c>
      <c r="C8" s="277" t="s">
        <v>228</v>
      </c>
      <c r="D8" s="277" t="s">
        <v>48</v>
      </c>
      <c r="E8" s="277" t="s">
        <v>49</v>
      </c>
      <c r="F8" s="277"/>
      <c r="G8" s="277" t="s">
        <v>50</v>
      </c>
      <c r="H8" s="277" t="s">
        <v>51</v>
      </c>
      <c r="I8" s="277" t="s">
        <v>52</v>
      </c>
    </row>
    <row r="9" spans="2:9" ht="18.75" customHeight="1" x14ac:dyDescent="0.25">
      <c r="B9" s="279" t="s">
        <v>47</v>
      </c>
      <c r="C9" s="279" t="s">
        <v>229</v>
      </c>
      <c r="D9" s="279" t="s">
        <v>53</v>
      </c>
      <c r="E9" s="279" t="s">
        <v>49</v>
      </c>
      <c r="F9" s="279"/>
      <c r="G9" s="279" t="s">
        <v>50</v>
      </c>
      <c r="H9" s="279"/>
      <c r="I9" s="279"/>
    </row>
    <row r="10" spans="2:9" ht="18.75" customHeight="1" x14ac:dyDescent="0.25">
      <c r="B10" s="278" t="s">
        <v>47</v>
      </c>
      <c r="C10" s="278" t="s">
        <v>54</v>
      </c>
      <c r="D10" s="278" t="s">
        <v>55</v>
      </c>
      <c r="E10" s="278" t="s">
        <v>49</v>
      </c>
      <c r="F10" s="278"/>
      <c r="G10" s="278" t="s">
        <v>50</v>
      </c>
      <c r="H10" s="278" t="s">
        <v>51</v>
      </c>
      <c r="I10" s="278"/>
    </row>
    <row r="11" spans="2:9" ht="18.75" customHeight="1" x14ac:dyDescent="0.25">
      <c r="B11" s="279" t="s">
        <v>47</v>
      </c>
      <c r="C11" s="279" t="s">
        <v>292</v>
      </c>
      <c r="D11" s="279" t="s">
        <v>293</v>
      </c>
      <c r="E11" s="279" t="s">
        <v>49</v>
      </c>
      <c r="F11" s="279"/>
      <c r="G11" s="279" t="s">
        <v>50</v>
      </c>
      <c r="H11" s="279"/>
      <c r="I11" s="279"/>
    </row>
    <row r="12" spans="2:9" ht="18.75" customHeight="1" thickBot="1" x14ac:dyDescent="0.3">
      <c r="B12" s="280" t="s">
        <v>57</v>
      </c>
      <c r="C12" s="280" t="s">
        <v>58</v>
      </c>
      <c r="D12" s="280" t="s">
        <v>59</v>
      </c>
      <c r="E12" s="280" t="s">
        <v>60</v>
      </c>
      <c r="F12" s="280"/>
      <c r="G12" s="280"/>
      <c r="H12" s="280"/>
      <c r="I12" s="280"/>
    </row>
    <row r="13" spans="2:9" ht="18.75" customHeight="1" thickTop="1" x14ac:dyDescent="0.25"/>
    <row r="14" spans="2:9" ht="18.75" customHeight="1" x14ac:dyDescent="0.25">
      <c r="B14" t="s">
        <v>298</v>
      </c>
      <c r="F14" t="s">
        <v>298</v>
      </c>
    </row>
    <row r="15" spans="2:9" x14ac:dyDescent="0.25">
      <c r="B15" t="s">
        <v>299</v>
      </c>
      <c r="C15" t="s">
        <v>89</v>
      </c>
      <c r="D15" t="s">
        <v>301</v>
      </c>
      <c r="F15" t="s">
        <v>299</v>
      </c>
      <c r="G15" t="s">
        <v>301</v>
      </c>
      <c r="H15" t="s">
        <v>243</v>
      </c>
      <c r="I15" t="s">
        <v>89</v>
      </c>
    </row>
    <row r="16" spans="2:9" x14ac:dyDescent="0.25">
      <c r="B16" t="s">
        <v>302</v>
      </c>
      <c r="F16" t="s">
        <v>302</v>
      </c>
      <c r="G16" t="s">
        <v>41</v>
      </c>
      <c r="H16" t="s">
        <v>243</v>
      </c>
      <c r="I16" t="s">
        <v>303</v>
      </c>
    </row>
    <row r="17" spans="2:9" x14ac:dyDescent="0.25">
      <c r="B17" t="s">
        <v>300</v>
      </c>
      <c r="C17" s="306">
        <v>0.18</v>
      </c>
      <c r="D17" s="163" t="str">
        <f>C8</f>
        <v>ELEC_HV</v>
      </c>
      <c r="F17" t="s">
        <v>304</v>
      </c>
      <c r="G17" s="163" t="str">
        <f>C8</f>
        <v>ELEC_HV</v>
      </c>
      <c r="H17">
        <v>2020</v>
      </c>
      <c r="I17">
        <v>9.8000000000000004E-2</v>
      </c>
    </row>
    <row r="18" spans="2:9" x14ac:dyDescent="0.25">
      <c r="G18" s="163"/>
    </row>
    <row r="19" spans="2:9" ht="17.399999999999999" x14ac:dyDescent="0.3">
      <c r="B19" s="247" t="s">
        <v>280</v>
      </c>
      <c r="C19" s="248"/>
      <c r="D19" s="248"/>
      <c r="E19" s="143"/>
      <c r="F19" s="143"/>
      <c r="G19" s="143"/>
      <c r="H19" s="143"/>
      <c r="I19" s="143"/>
    </row>
    <row r="20" spans="2:9" x14ac:dyDescent="0.25">
      <c r="D20" s="143"/>
      <c r="E20" s="143"/>
      <c r="F20" s="143"/>
      <c r="G20" s="143"/>
      <c r="H20" s="143"/>
      <c r="I20" s="143"/>
    </row>
    <row r="21" spans="2:9" x14ac:dyDescent="0.25">
      <c r="B21" s="162" t="s">
        <v>281</v>
      </c>
      <c r="C21" s="161"/>
      <c r="D21" s="161"/>
      <c r="E21" s="161"/>
      <c r="F21" s="161"/>
      <c r="G21" s="161"/>
      <c r="H21" s="161"/>
      <c r="I21" s="161"/>
    </row>
    <row r="22" spans="2:9" x14ac:dyDescent="0.25">
      <c r="B22" s="273" t="s">
        <v>32</v>
      </c>
      <c r="C22" s="273" t="s">
        <v>33</v>
      </c>
      <c r="D22" s="273" t="s">
        <v>34</v>
      </c>
      <c r="E22" s="273" t="s">
        <v>35</v>
      </c>
      <c r="F22" s="273" t="s">
        <v>36</v>
      </c>
      <c r="G22" s="273" t="s">
        <v>37</v>
      </c>
      <c r="H22" s="273" t="s">
        <v>38</v>
      </c>
      <c r="I22" s="273" t="s">
        <v>39</v>
      </c>
    </row>
    <row r="23" spans="2:9" x14ac:dyDescent="0.25">
      <c r="B23" s="171" t="s">
        <v>47</v>
      </c>
      <c r="C23" s="265" t="s">
        <v>141</v>
      </c>
      <c r="D23" s="171" t="s">
        <v>275</v>
      </c>
      <c r="E23" s="266" t="s">
        <v>49</v>
      </c>
      <c r="F23" s="170"/>
      <c r="G23" s="170"/>
      <c r="H23" s="170"/>
      <c r="I23" s="170"/>
    </row>
    <row r="24" spans="2:9" x14ac:dyDescent="0.25">
      <c r="B24" s="197" t="s">
        <v>47</v>
      </c>
      <c r="C24" s="267" t="s">
        <v>142</v>
      </c>
      <c r="D24" s="197" t="s">
        <v>276</v>
      </c>
      <c r="E24" s="268" t="s">
        <v>49</v>
      </c>
      <c r="F24" s="196"/>
      <c r="G24" s="196"/>
      <c r="H24" s="196"/>
      <c r="I24" s="196"/>
    </row>
    <row r="25" spans="2:9" x14ac:dyDescent="0.25">
      <c r="B25" s="171" t="s">
        <v>47</v>
      </c>
      <c r="C25" s="265" t="s">
        <v>156</v>
      </c>
      <c r="D25" s="171" t="s">
        <v>277</v>
      </c>
      <c r="E25" s="266" t="s">
        <v>49</v>
      </c>
      <c r="F25" s="170"/>
      <c r="G25" s="170"/>
      <c r="H25" s="170"/>
      <c r="I25" s="170"/>
    </row>
    <row r="26" spans="2:9" x14ac:dyDescent="0.25">
      <c r="B26" s="197" t="s">
        <v>47</v>
      </c>
      <c r="C26" s="267" t="s">
        <v>145</v>
      </c>
      <c r="D26" s="197" t="s">
        <v>278</v>
      </c>
      <c r="E26" s="227" t="s">
        <v>49</v>
      </c>
      <c r="F26" s="196"/>
      <c r="G26" s="196"/>
      <c r="H26" s="196"/>
      <c r="I26" s="196"/>
    </row>
    <row r="27" spans="2:9" ht="13.8" thickBot="1" x14ac:dyDescent="0.3">
      <c r="B27" s="269" t="s">
        <v>47</v>
      </c>
      <c r="C27" s="270" t="s">
        <v>146</v>
      </c>
      <c r="D27" s="269" t="s">
        <v>279</v>
      </c>
      <c r="E27" s="271" t="s">
        <v>49</v>
      </c>
      <c r="F27" s="272"/>
      <c r="G27" s="272"/>
      <c r="H27" s="272"/>
      <c r="I27" s="272"/>
    </row>
    <row r="29" spans="2:9" ht="13.8" thickBot="1" x14ac:dyDescent="0.3">
      <c r="B29" s="299" t="s">
        <v>61</v>
      </c>
      <c r="C29" s="299"/>
    </row>
    <row r="30" spans="2:9" x14ac:dyDescent="0.25">
      <c r="B30" s="246" t="s">
        <v>47</v>
      </c>
      <c r="C30" s="246" t="s">
        <v>62</v>
      </c>
    </row>
    <row r="31" spans="2:9" x14ac:dyDescent="0.25">
      <c r="B31" s="124" t="s">
        <v>57</v>
      </c>
      <c r="C31" s="124" t="s">
        <v>63</v>
      </c>
    </row>
    <row r="32" spans="2:9" x14ac:dyDescent="0.25">
      <c r="B32" s="122" t="s">
        <v>56</v>
      </c>
      <c r="C32" s="122" t="s">
        <v>64</v>
      </c>
    </row>
    <row r="33" spans="2:3" x14ac:dyDescent="0.25">
      <c r="B33" s="124" t="s">
        <v>65</v>
      </c>
      <c r="C33" s="124" t="s">
        <v>66</v>
      </c>
    </row>
    <row r="34" spans="2:3" ht="13.8" thickBot="1" x14ac:dyDescent="0.3">
      <c r="B34" s="118" t="s">
        <v>67</v>
      </c>
      <c r="C34" s="118" t="s">
        <v>68</v>
      </c>
    </row>
  </sheetData>
  <mergeCells count="1">
    <mergeCell ref="B29:C29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28"/>
  <sheetViews>
    <sheetView zoomScaleNormal="100" workbookViewId="0">
      <selection activeCell="F23" sqref="F23"/>
    </sheetView>
  </sheetViews>
  <sheetFormatPr defaultRowHeight="13.2" x14ac:dyDescent="0.25"/>
  <cols>
    <col min="1" max="1" width="1.44140625" customWidth="1"/>
    <col min="2" max="2" width="16.109375" customWidth="1"/>
    <col min="3" max="3" width="13.5546875" customWidth="1"/>
    <col min="4" max="4" width="21.6640625" customWidth="1"/>
    <col min="5" max="5" width="58" customWidth="1"/>
    <col min="6" max="10" width="21.77734375" customWidth="1"/>
    <col min="12" max="12" width="13.5546875" customWidth="1"/>
  </cols>
  <sheetData>
    <row r="1" spans="1:10" ht="12.75" customHeight="1" x14ac:dyDescent="0.25">
      <c r="B1" s="250"/>
      <c r="C1" s="175"/>
      <c r="D1" s="175"/>
    </row>
    <row r="2" spans="1:10" ht="18.75" customHeight="1" x14ac:dyDescent="0.3">
      <c r="A2" s="152"/>
      <c r="B2" s="251" t="s">
        <v>69</v>
      </c>
      <c r="C2" s="251"/>
      <c r="D2" s="251"/>
      <c r="E2" s="163"/>
      <c r="F2" s="163"/>
      <c r="G2" s="163"/>
      <c r="H2" s="163"/>
      <c r="I2" s="163"/>
      <c r="J2" s="163"/>
    </row>
    <row r="3" spans="1:10" ht="12.75" customHeight="1" x14ac:dyDescent="0.25"/>
    <row r="4" spans="1:10" ht="18" customHeight="1" x14ac:dyDescent="0.25">
      <c r="B4" s="162" t="s">
        <v>70</v>
      </c>
      <c r="C4" s="162"/>
      <c r="D4" s="163"/>
      <c r="E4" s="163"/>
      <c r="F4" s="163"/>
      <c r="G4" s="163"/>
      <c r="H4" s="163"/>
      <c r="I4" s="163"/>
      <c r="J4" s="163"/>
    </row>
    <row r="5" spans="1:10" ht="15.75" customHeight="1" x14ac:dyDescent="0.25">
      <c r="B5" s="253" t="s">
        <v>71</v>
      </c>
      <c r="C5" s="253" t="s">
        <v>72</v>
      </c>
      <c r="D5" s="253" t="s">
        <v>73</v>
      </c>
      <c r="E5" s="253" t="s">
        <v>74</v>
      </c>
      <c r="F5" s="253" t="s">
        <v>75</v>
      </c>
      <c r="G5" s="253" t="s">
        <v>76</v>
      </c>
      <c r="H5" s="253" t="s">
        <v>77</v>
      </c>
      <c r="I5" s="253" t="s">
        <v>78</v>
      </c>
      <c r="J5" s="253" t="s">
        <v>79</v>
      </c>
    </row>
    <row r="6" spans="1:10" ht="30" customHeight="1" x14ac:dyDescent="0.25">
      <c r="B6" s="138" t="s">
        <v>80</v>
      </c>
      <c r="C6" s="138" t="s">
        <v>81</v>
      </c>
      <c r="D6" s="138" t="s">
        <v>82</v>
      </c>
      <c r="E6" s="138" t="s">
        <v>83</v>
      </c>
      <c r="F6" s="138" t="s">
        <v>84</v>
      </c>
      <c r="G6" s="138" t="s">
        <v>85</v>
      </c>
      <c r="H6" s="138" t="s">
        <v>44</v>
      </c>
      <c r="I6" s="138" t="s">
        <v>86</v>
      </c>
      <c r="J6" s="138" t="s">
        <v>87</v>
      </c>
    </row>
    <row r="7" spans="1:10" ht="40.200000000000003" thickBot="1" x14ac:dyDescent="0.3">
      <c r="B7" s="137" t="s">
        <v>176</v>
      </c>
      <c r="C7" s="137" t="s">
        <v>177</v>
      </c>
      <c r="D7" s="137" t="s">
        <v>178</v>
      </c>
      <c r="E7" s="137" t="s">
        <v>179</v>
      </c>
      <c r="F7" s="137" t="s">
        <v>180</v>
      </c>
      <c r="G7" s="137" t="s">
        <v>181</v>
      </c>
      <c r="H7" s="137" t="s">
        <v>174</v>
      </c>
      <c r="I7" s="255" t="s">
        <v>236</v>
      </c>
      <c r="J7" s="255" t="s">
        <v>237</v>
      </c>
    </row>
    <row r="8" spans="1:10" ht="18.75" customHeight="1" x14ac:dyDescent="0.25">
      <c r="B8" s="277" t="s">
        <v>88</v>
      </c>
      <c r="C8" s="284" t="s">
        <v>89</v>
      </c>
      <c r="D8" s="284" t="s">
        <v>232</v>
      </c>
      <c r="E8" s="284" t="s">
        <v>90</v>
      </c>
      <c r="F8" s="284" t="s">
        <v>49</v>
      </c>
      <c r="G8" s="284" t="s">
        <v>91</v>
      </c>
      <c r="H8" s="284" t="s">
        <v>50</v>
      </c>
      <c r="I8" s="284"/>
      <c r="J8" s="284"/>
    </row>
    <row r="9" spans="1:10" ht="18.75" customHeight="1" x14ac:dyDescent="0.25">
      <c r="B9" s="279" t="s">
        <v>88</v>
      </c>
      <c r="C9" s="285" t="s">
        <v>89</v>
      </c>
      <c r="D9" s="285" t="s">
        <v>233</v>
      </c>
      <c r="E9" s="285" t="s">
        <v>92</v>
      </c>
      <c r="F9" s="285" t="s">
        <v>49</v>
      </c>
      <c r="G9" s="285" t="s">
        <v>91</v>
      </c>
      <c r="H9" s="285" t="s">
        <v>50</v>
      </c>
      <c r="I9" s="285"/>
      <c r="J9" s="285"/>
    </row>
    <row r="10" spans="1:10" ht="18.75" customHeight="1" x14ac:dyDescent="0.25">
      <c r="B10" s="278" t="s">
        <v>88</v>
      </c>
      <c r="C10" s="286" t="s">
        <v>89</v>
      </c>
      <c r="D10" s="286" t="s">
        <v>234</v>
      </c>
      <c r="E10" s="286" t="s">
        <v>93</v>
      </c>
      <c r="F10" s="286" t="s">
        <v>49</v>
      </c>
      <c r="G10" s="286" t="s">
        <v>91</v>
      </c>
      <c r="H10" s="286" t="s">
        <v>50</v>
      </c>
      <c r="I10" s="286"/>
      <c r="J10" s="286"/>
    </row>
    <row r="11" spans="1:10" ht="18.75" customHeight="1" x14ac:dyDescent="0.25">
      <c r="B11" s="279" t="s">
        <v>88</v>
      </c>
      <c r="C11" s="285" t="s">
        <v>89</v>
      </c>
      <c r="D11" s="285" t="s">
        <v>235</v>
      </c>
      <c r="E11" s="285" t="s">
        <v>94</v>
      </c>
      <c r="F11" s="285" t="s">
        <v>49</v>
      </c>
      <c r="G11" s="285" t="s">
        <v>91</v>
      </c>
      <c r="H11" s="285" t="s">
        <v>50</v>
      </c>
      <c r="I11" s="285"/>
      <c r="J11" s="285"/>
    </row>
    <row r="12" spans="1:10" ht="18.75" customHeight="1" x14ac:dyDescent="0.25">
      <c r="B12" s="278" t="s">
        <v>95</v>
      </c>
      <c r="C12" s="286" t="s">
        <v>89</v>
      </c>
      <c r="D12" s="286" t="s">
        <v>96</v>
      </c>
      <c r="E12" s="286" t="s">
        <v>283</v>
      </c>
      <c r="F12" s="286" t="s">
        <v>49</v>
      </c>
      <c r="G12" s="286" t="s">
        <v>91</v>
      </c>
      <c r="H12" s="286" t="s">
        <v>50</v>
      </c>
      <c r="I12" s="286"/>
      <c r="J12" s="286"/>
    </row>
    <row r="13" spans="1:10" ht="18.75" customHeight="1" x14ac:dyDescent="0.25">
      <c r="B13" s="279" t="s">
        <v>95</v>
      </c>
      <c r="C13" s="285" t="s">
        <v>89</v>
      </c>
      <c r="D13" s="285" t="s">
        <v>97</v>
      </c>
      <c r="E13" s="285" t="s">
        <v>282</v>
      </c>
      <c r="F13" s="285" t="s">
        <v>49</v>
      </c>
      <c r="G13" s="285" t="s">
        <v>91</v>
      </c>
      <c r="H13" s="285" t="s">
        <v>50</v>
      </c>
      <c r="I13" s="285"/>
      <c r="J13" s="285"/>
    </row>
    <row r="14" spans="1:10" ht="18.75" customHeight="1" x14ac:dyDescent="0.25">
      <c r="B14" s="278" t="s">
        <v>98</v>
      </c>
      <c r="C14" s="286" t="s">
        <v>89</v>
      </c>
      <c r="D14" s="286" t="s">
        <v>296</v>
      </c>
      <c r="E14" s="286" t="s">
        <v>297</v>
      </c>
      <c r="F14" s="286" t="s">
        <v>49</v>
      </c>
      <c r="G14" s="286" t="s">
        <v>91</v>
      </c>
      <c r="H14" s="286" t="s">
        <v>50</v>
      </c>
      <c r="I14" s="286"/>
      <c r="J14" s="286"/>
    </row>
    <row r="15" spans="1:10" ht="18.75" customHeight="1" x14ac:dyDescent="0.25">
      <c r="B15" s="279" t="s">
        <v>99</v>
      </c>
      <c r="C15" s="285" t="s">
        <v>89</v>
      </c>
      <c r="D15" s="285" t="s">
        <v>100</v>
      </c>
      <c r="E15" s="285" t="s">
        <v>101</v>
      </c>
      <c r="F15" s="285" t="s">
        <v>49</v>
      </c>
      <c r="G15" s="285" t="s">
        <v>199</v>
      </c>
      <c r="H15" s="285" t="s">
        <v>50</v>
      </c>
      <c r="I15" s="285"/>
      <c r="J15" s="285"/>
    </row>
    <row r="16" spans="1:10" ht="18.75" customHeight="1" thickBot="1" x14ac:dyDescent="0.3">
      <c r="B16" s="280" t="s">
        <v>99</v>
      </c>
      <c r="C16" s="287" t="s">
        <v>89</v>
      </c>
      <c r="D16" s="287" t="s">
        <v>294</v>
      </c>
      <c r="E16" s="287" t="s">
        <v>291</v>
      </c>
      <c r="F16" s="287" t="s">
        <v>49</v>
      </c>
      <c r="G16" s="287" t="s">
        <v>199</v>
      </c>
      <c r="H16" s="287" t="s">
        <v>50</v>
      </c>
      <c r="I16" s="287"/>
      <c r="J16" s="287"/>
    </row>
    <row r="17" spans="2:7" ht="16.2" thickTop="1" x14ac:dyDescent="0.3">
      <c r="F17" s="300"/>
      <c r="G17" s="300"/>
    </row>
    <row r="19" spans="2:7" x14ac:dyDescent="0.25">
      <c r="B19" s="301" t="s">
        <v>102</v>
      </c>
      <c r="C19" s="301"/>
      <c r="D19" s="301"/>
    </row>
    <row r="20" spans="2:7" x14ac:dyDescent="0.25">
      <c r="B20" s="122" t="s">
        <v>88</v>
      </c>
      <c r="C20" s="122" t="s">
        <v>103</v>
      </c>
      <c r="D20" s="122"/>
    </row>
    <row r="21" spans="2:7" x14ac:dyDescent="0.25">
      <c r="B21" s="124" t="s">
        <v>95</v>
      </c>
      <c r="C21" s="124" t="s">
        <v>104</v>
      </c>
      <c r="D21" s="124"/>
    </row>
    <row r="22" spans="2:7" x14ac:dyDescent="0.25">
      <c r="B22" s="122" t="s">
        <v>105</v>
      </c>
      <c r="C22" s="122" t="s">
        <v>106</v>
      </c>
      <c r="D22" s="122"/>
    </row>
    <row r="23" spans="2:7" x14ac:dyDescent="0.25">
      <c r="B23" s="124" t="s">
        <v>99</v>
      </c>
      <c r="C23" s="124" t="s">
        <v>107</v>
      </c>
      <c r="D23" s="124"/>
    </row>
    <row r="24" spans="2:7" x14ac:dyDescent="0.25">
      <c r="B24" s="122" t="s">
        <v>108</v>
      </c>
      <c r="C24" s="122" t="s">
        <v>109</v>
      </c>
      <c r="D24" s="122" t="s">
        <v>242</v>
      </c>
    </row>
    <row r="25" spans="2:7" x14ac:dyDescent="0.25">
      <c r="B25" s="124" t="s">
        <v>110</v>
      </c>
      <c r="C25" s="124" t="s">
        <v>111</v>
      </c>
      <c r="D25" s="124" t="s">
        <v>112</v>
      </c>
    </row>
    <row r="26" spans="2:7" x14ac:dyDescent="0.25">
      <c r="B26" s="122" t="s">
        <v>113</v>
      </c>
      <c r="C26" s="122" t="s">
        <v>114</v>
      </c>
      <c r="D26" s="122" t="s">
        <v>115</v>
      </c>
    </row>
    <row r="27" spans="2:7" x14ac:dyDescent="0.25">
      <c r="B27" s="124" t="s">
        <v>116</v>
      </c>
      <c r="C27" s="124" t="s">
        <v>117</v>
      </c>
      <c r="D27" s="124" t="s">
        <v>112</v>
      </c>
    </row>
    <row r="28" spans="2:7" ht="13.8" thickBot="1" x14ac:dyDescent="0.3">
      <c r="B28" s="118" t="s">
        <v>98</v>
      </c>
      <c r="C28" s="118" t="s">
        <v>118</v>
      </c>
      <c r="D28" s="118"/>
    </row>
  </sheetData>
  <mergeCells count="2">
    <mergeCell ref="F17:G17"/>
    <mergeCell ref="B19:D19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27"/>
  <sheetViews>
    <sheetView zoomScale="115" zoomScaleNormal="115" workbookViewId="0">
      <selection activeCell="P8" sqref="P8"/>
    </sheetView>
  </sheetViews>
  <sheetFormatPr defaultRowHeight="13.2" x14ac:dyDescent="0.25"/>
  <cols>
    <col min="1" max="1" width="2.88671875" customWidth="1"/>
    <col min="2" max="2" width="12.88671875" customWidth="1"/>
    <col min="3" max="3" width="44.33203125" customWidth="1"/>
    <col min="4" max="4" width="10.33203125" customWidth="1"/>
    <col min="5" max="5" width="10.5546875" customWidth="1"/>
    <col min="6" max="6" width="11" customWidth="1"/>
    <col min="7" max="7" width="25.21875" customWidth="1"/>
    <col min="8" max="8" width="7.6640625" customWidth="1"/>
    <col min="9" max="9" width="11" customWidth="1"/>
    <col min="10" max="10" width="15.44140625" customWidth="1"/>
    <col min="11" max="14" width="7.6640625" customWidth="1"/>
    <col min="15" max="15" width="15.88671875" customWidth="1"/>
    <col min="16" max="16" width="10.88671875" customWidth="1"/>
    <col min="17" max="17" width="15" customWidth="1"/>
    <col min="18" max="18" width="13" customWidth="1"/>
    <col min="19" max="19" width="17.88671875" customWidth="1"/>
    <col min="20" max="20" width="15" customWidth="1"/>
    <col min="21" max="21" width="15.33203125" customWidth="1"/>
    <col min="24" max="24" width="12.5546875" bestFit="1" customWidth="1"/>
  </cols>
  <sheetData>
    <row r="2" spans="2:30" ht="16.5" customHeight="1" x14ac:dyDescent="0.3">
      <c r="B2" s="249" t="s">
        <v>119</v>
      </c>
      <c r="C2" s="185"/>
      <c r="E2" s="145"/>
      <c r="H2" s="148"/>
      <c r="I2" s="141"/>
      <c r="J2" s="141"/>
      <c r="K2" s="141"/>
      <c r="L2" s="141"/>
      <c r="M2" s="141"/>
      <c r="N2" s="141"/>
      <c r="O2" s="149"/>
      <c r="P2" s="149"/>
      <c r="Q2" s="151"/>
      <c r="R2" s="146"/>
      <c r="S2" s="147"/>
    </row>
    <row r="3" spans="2:30" x14ac:dyDescent="0.25">
      <c r="B3" s="150"/>
      <c r="C3" s="144"/>
      <c r="E3" s="145"/>
      <c r="H3" s="148"/>
      <c r="I3" s="148"/>
      <c r="J3" s="148"/>
      <c r="K3" s="148"/>
      <c r="L3" s="148"/>
      <c r="M3" s="148"/>
      <c r="N3" s="148"/>
      <c r="O3" s="149"/>
      <c r="P3" s="149"/>
      <c r="Q3" s="151"/>
      <c r="R3" s="146"/>
      <c r="S3" s="147"/>
    </row>
    <row r="4" spans="2:30" ht="15.75" customHeight="1" x14ac:dyDescent="0.25">
      <c r="E4" s="155" t="s">
        <v>120</v>
      </c>
      <c r="F4" s="153"/>
      <c r="G4" s="153"/>
      <c r="H4" s="153"/>
      <c r="I4" s="153"/>
      <c r="J4" s="153"/>
      <c r="K4" s="153"/>
      <c r="L4" s="153"/>
      <c r="M4" s="153"/>
      <c r="N4" s="153"/>
      <c r="O4" s="156"/>
      <c r="P4" s="156"/>
      <c r="Q4" s="154"/>
      <c r="R4" s="154"/>
      <c r="S4" s="154"/>
    </row>
    <row r="5" spans="2:30" s="143" customFormat="1" ht="49.8" customHeight="1" x14ac:dyDescent="0.25">
      <c r="B5" s="136" t="s">
        <v>73</v>
      </c>
      <c r="C5" s="136" t="s">
        <v>121</v>
      </c>
      <c r="D5" s="136" t="s">
        <v>122</v>
      </c>
      <c r="E5" s="136" t="s">
        <v>123</v>
      </c>
      <c r="F5" s="136" t="s">
        <v>124</v>
      </c>
      <c r="G5" s="136" t="s">
        <v>125</v>
      </c>
      <c r="H5" s="134" t="s">
        <v>163</v>
      </c>
      <c r="I5" s="134" t="s">
        <v>164</v>
      </c>
      <c r="J5" s="134" t="s">
        <v>165</v>
      </c>
      <c r="K5" s="134" t="s">
        <v>166</v>
      </c>
      <c r="L5" s="134" t="s">
        <v>167</v>
      </c>
      <c r="M5" s="134" t="s">
        <v>168</v>
      </c>
      <c r="N5" s="134" t="s">
        <v>126</v>
      </c>
      <c r="O5" s="136" t="s">
        <v>127</v>
      </c>
      <c r="P5" s="136" t="s">
        <v>197</v>
      </c>
      <c r="Q5" s="136" t="s">
        <v>128</v>
      </c>
      <c r="R5" s="136" t="s">
        <v>129</v>
      </c>
      <c r="S5" s="136" t="s">
        <v>130</v>
      </c>
      <c r="T5"/>
      <c r="W5"/>
      <c r="X5"/>
    </row>
    <row r="6" spans="2:30" ht="53.1" customHeight="1" x14ac:dyDescent="0.25">
      <c r="B6" s="138" t="s">
        <v>131</v>
      </c>
      <c r="C6" s="138" t="s">
        <v>83</v>
      </c>
      <c r="D6" s="138" t="s">
        <v>132</v>
      </c>
      <c r="E6" s="138" t="s">
        <v>133</v>
      </c>
      <c r="F6" s="138" t="s">
        <v>134</v>
      </c>
      <c r="G6" s="138" t="s">
        <v>135</v>
      </c>
      <c r="H6" s="302" t="s">
        <v>136</v>
      </c>
      <c r="I6" s="302"/>
      <c r="J6" s="302"/>
      <c r="K6" s="302"/>
      <c r="L6" s="302"/>
      <c r="M6" s="302"/>
      <c r="N6" s="302"/>
      <c r="O6" s="138" t="s">
        <v>137</v>
      </c>
      <c r="P6" s="138" t="s">
        <v>138</v>
      </c>
      <c r="Q6" s="138" t="s">
        <v>138</v>
      </c>
      <c r="R6" s="138" t="s">
        <v>139</v>
      </c>
      <c r="S6" s="138" t="s">
        <v>140</v>
      </c>
      <c r="Y6" s="179"/>
      <c r="Z6" s="142"/>
    </row>
    <row r="7" spans="2:30" ht="53.4" customHeight="1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  <c r="G7" s="137" t="s">
        <v>185</v>
      </c>
      <c r="H7" s="303" t="s">
        <v>182</v>
      </c>
      <c r="I7" s="303"/>
      <c r="J7" s="303"/>
      <c r="K7" s="303"/>
      <c r="L7" s="303"/>
      <c r="M7" s="303"/>
      <c r="N7" s="303"/>
      <c r="O7" s="137" t="s">
        <v>186</v>
      </c>
      <c r="P7" s="137" t="s">
        <v>187</v>
      </c>
      <c r="Q7" s="137" t="s">
        <v>187</v>
      </c>
      <c r="R7" s="137" t="s">
        <v>188</v>
      </c>
      <c r="S7" s="137" t="s">
        <v>189</v>
      </c>
      <c r="Y7" s="179"/>
      <c r="Z7" s="142"/>
    </row>
    <row r="8" spans="2:30" ht="15.75" customHeight="1" x14ac:dyDescent="0.25">
      <c r="B8" s="166" t="str">
        <f>SEC_Processes!D10</f>
        <v>ELE_EX_HC</v>
      </c>
      <c r="C8" s="166" t="str">
        <f>SEC_Processes!E10</f>
        <v>Existing Hard Coal Power Plants</v>
      </c>
      <c r="D8" s="234" t="str">
        <f>SEC_Comm!C23</f>
        <v>HC</v>
      </c>
      <c r="E8" s="234" t="str">
        <f>SEC_Comm!C8</f>
        <v>ELEC_HV</v>
      </c>
      <c r="F8" s="228">
        <f>(BALANCE!E9*3.6/10^3)/(BALANCE!G9*BALANCE!H9/10^6)</f>
        <v>0.37835241091502259</v>
      </c>
      <c r="G8" s="229">
        <v>31.536000000000001</v>
      </c>
      <c r="H8" s="228">
        <f>BALANCE!D9/1000</f>
        <v>17.023799999999998</v>
      </c>
      <c r="I8" s="228">
        <v>13.973599999999999</v>
      </c>
      <c r="J8" s="228">
        <v>9.5486000000000004</v>
      </c>
      <c r="K8" s="228">
        <v>7.5076000000000001</v>
      </c>
      <c r="L8" s="228">
        <v>5.294999999999999</v>
      </c>
      <c r="M8" s="228">
        <v>3.5409999999999995</v>
      </c>
      <c r="N8" s="228">
        <v>0</v>
      </c>
      <c r="O8" s="230">
        <v>1</v>
      </c>
      <c r="P8" s="230">
        <f>ROUNDUP((BALANCE!E9/BALANCE!D9*1000/8760),2)</f>
        <v>0.33</v>
      </c>
      <c r="Q8" s="229">
        <f>P8*1.25</f>
        <v>0.41250000000000003</v>
      </c>
      <c r="R8" s="230">
        <f>44*4.5</f>
        <v>198</v>
      </c>
      <c r="S8" s="229">
        <f>3.4/3.6*4.5</f>
        <v>4.25</v>
      </c>
    </row>
    <row r="9" spans="2:30" ht="15.75" customHeight="1" thickBot="1" x14ac:dyDescent="0.3">
      <c r="B9" s="193" t="str">
        <f>SEC_Processes!D11</f>
        <v>ELE_EX_BC</v>
      </c>
      <c r="C9" s="193" t="str">
        <f>SEC_Processes!E11</f>
        <v>Existing Brown Coal Power Plants</v>
      </c>
      <c r="D9" s="244" t="str">
        <f>SEC_Comm!C24</f>
        <v>BC</v>
      </c>
      <c r="E9" s="235" t="str">
        <f>SEC_Comm!C8</f>
        <v>ELEC_HV</v>
      </c>
      <c r="F9" s="231">
        <f>(BALANCE!E10*3.6/10^3)/(BALANCE!G10*BALANCE!H10/10^6)</f>
        <v>0.34425649711369494</v>
      </c>
      <c r="G9" s="232">
        <v>31.536000000000001</v>
      </c>
      <c r="H9" s="231">
        <f>BALANCE!D10/1000</f>
        <v>7.3911999999999995</v>
      </c>
      <c r="I9" s="231">
        <v>7.5307599999999999</v>
      </c>
      <c r="J9" s="231">
        <v>7.1887599999999994</v>
      </c>
      <c r="K9" s="231">
        <v>3.145</v>
      </c>
      <c r="L9" s="231">
        <v>1.4890000000000001</v>
      </c>
      <c r="M9" s="231">
        <v>0.89</v>
      </c>
      <c r="N9" s="231">
        <v>0</v>
      </c>
      <c r="O9" s="233">
        <v>1</v>
      </c>
      <c r="P9" s="233">
        <f>ROUNDUP((BALANCE!E10/BALANCE!D10*1000/8760),2)</f>
        <v>0.54</v>
      </c>
      <c r="Q9" s="232">
        <f>P9*1.25</f>
        <v>0.67500000000000004</v>
      </c>
      <c r="R9" s="233">
        <f>49*4.5</f>
        <v>220.5</v>
      </c>
      <c r="S9" s="233">
        <f>3.2/3.6*4.5</f>
        <v>4</v>
      </c>
    </row>
    <row r="13" spans="2:30" ht="15.6" x14ac:dyDescent="0.3">
      <c r="B13" s="249" t="s">
        <v>245</v>
      </c>
      <c r="C13" s="185"/>
      <c r="U13" s="177"/>
      <c r="V13" s="178"/>
      <c r="Y13" s="178"/>
      <c r="Z13" s="178"/>
      <c r="AA13" s="178"/>
      <c r="AB13" s="178"/>
      <c r="AC13" s="178"/>
      <c r="AD13" s="178"/>
    </row>
    <row r="14" spans="2:30" x14ac:dyDescent="0.25">
      <c r="I14" s="173"/>
      <c r="J14" s="173"/>
      <c r="K14" s="173"/>
      <c r="L14" s="173"/>
      <c r="M14" s="173"/>
      <c r="N14" s="173"/>
      <c r="V14" s="179"/>
      <c r="Y14" s="179"/>
      <c r="Z14" s="179"/>
      <c r="AA14" s="179"/>
      <c r="AB14" s="179"/>
      <c r="AC14" s="179"/>
      <c r="AD14" s="179"/>
    </row>
    <row r="15" spans="2:30" x14ac:dyDescent="0.25">
      <c r="T15" s="142"/>
      <c r="U15" s="142"/>
      <c r="V15" s="221"/>
      <c r="Y15" s="180"/>
      <c r="Z15" s="180"/>
      <c r="AA15" s="181"/>
      <c r="AB15" s="142"/>
      <c r="AC15" s="142"/>
      <c r="AD15" s="182"/>
    </row>
    <row r="16" spans="2:30" ht="35.4" customHeight="1" x14ac:dyDescent="0.25">
      <c r="B16" s="136" t="s">
        <v>73</v>
      </c>
      <c r="C16" s="136" t="s">
        <v>121</v>
      </c>
      <c r="D16" s="136" t="s">
        <v>122</v>
      </c>
      <c r="E16" s="136" t="s">
        <v>123</v>
      </c>
      <c r="F16" s="136" t="s">
        <v>124</v>
      </c>
      <c r="G16" s="136" t="s">
        <v>125</v>
      </c>
      <c r="H16" s="135" t="s">
        <v>243</v>
      </c>
      <c r="I16" s="135" t="s">
        <v>36</v>
      </c>
      <c r="J16" s="134" t="s">
        <v>248</v>
      </c>
      <c r="K16" s="136" t="s">
        <v>127</v>
      </c>
      <c r="L16" s="134" t="s">
        <v>128</v>
      </c>
      <c r="M16" s="134" t="s">
        <v>128</v>
      </c>
      <c r="N16" s="136" t="s">
        <v>129</v>
      </c>
      <c r="O16" s="136" t="s">
        <v>130</v>
      </c>
      <c r="V16" s="180"/>
      <c r="Y16" s="180"/>
      <c r="Z16" s="180"/>
      <c r="AA16" s="181"/>
      <c r="AB16" s="142"/>
      <c r="AC16" s="142"/>
      <c r="AD16" s="182"/>
    </row>
    <row r="17" spans="2:30" ht="61.8" customHeight="1" x14ac:dyDescent="0.25">
      <c r="B17" s="133" t="s">
        <v>131</v>
      </c>
      <c r="C17" s="133" t="s">
        <v>83</v>
      </c>
      <c r="D17" s="133" t="s">
        <v>132</v>
      </c>
      <c r="E17" s="133" t="s">
        <v>133</v>
      </c>
      <c r="F17" s="133" t="s">
        <v>134</v>
      </c>
      <c r="G17" s="133" t="s">
        <v>135</v>
      </c>
      <c r="H17" s="132" t="s">
        <v>243</v>
      </c>
      <c r="I17" s="132" t="s">
        <v>246</v>
      </c>
      <c r="J17" s="129" t="s">
        <v>136</v>
      </c>
      <c r="K17" s="133" t="s">
        <v>137</v>
      </c>
      <c r="L17" s="133" t="s">
        <v>138</v>
      </c>
      <c r="M17" s="133" t="s">
        <v>138</v>
      </c>
      <c r="N17" s="133" t="s">
        <v>139</v>
      </c>
      <c r="O17" s="133" t="s">
        <v>140</v>
      </c>
      <c r="Y17" s="180"/>
      <c r="Z17" s="180"/>
      <c r="AD17" s="183"/>
    </row>
    <row r="18" spans="2:30" ht="79.2" customHeight="1" thickBot="1" x14ac:dyDescent="0.3">
      <c r="B18" s="131" t="s">
        <v>190</v>
      </c>
      <c r="C18" s="131" t="s">
        <v>179</v>
      </c>
      <c r="D18" s="131" t="s">
        <v>183</v>
      </c>
      <c r="E18" s="131" t="s">
        <v>184</v>
      </c>
      <c r="F18" s="131" t="s">
        <v>23</v>
      </c>
      <c r="G18" s="131" t="s">
        <v>185</v>
      </c>
      <c r="H18" s="130" t="s">
        <v>244</v>
      </c>
      <c r="I18" s="130" t="s">
        <v>247</v>
      </c>
      <c r="J18" s="128" t="s">
        <v>182</v>
      </c>
      <c r="K18" s="131" t="s">
        <v>186</v>
      </c>
      <c r="L18" s="131" t="s">
        <v>187</v>
      </c>
      <c r="M18" s="131" t="s">
        <v>187</v>
      </c>
      <c r="N18" s="131" t="s">
        <v>188</v>
      </c>
      <c r="O18" s="131" t="s">
        <v>189</v>
      </c>
      <c r="Y18" s="180"/>
      <c r="Z18" s="180"/>
      <c r="AD18" s="183"/>
    </row>
    <row r="19" spans="2:30" ht="18.75" customHeight="1" x14ac:dyDescent="0.25">
      <c r="B19" s="127" t="s">
        <v>234</v>
      </c>
      <c r="C19" s="127" t="s">
        <v>93</v>
      </c>
      <c r="D19" s="127" t="s">
        <v>141</v>
      </c>
      <c r="E19" s="127" t="s">
        <v>228</v>
      </c>
      <c r="F19" s="126">
        <v>0.37835241091502259</v>
      </c>
      <c r="G19" s="127">
        <v>31.536000000000001</v>
      </c>
      <c r="H19" s="127"/>
      <c r="I19" s="127"/>
      <c r="J19" s="127"/>
      <c r="K19" s="125">
        <v>1</v>
      </c>
      <c r="L19" s="127"/>
      <c r="M19" s="127">
        <v>0.41250000000000003</v>
      </c>
      <c r="N19" s="125">
        <v>198</v>
      </c>
      <c r="O19" s="127">
        <v>4.25</v>
      </c>
    </row>
    <row r="20" spans="2:30" ht="18.75" customHeight="1" x14ac:dyDescent="0.25">
      <c r="B20" s="124"/>
      <c r="C20" s="124"/>
      <c r="D20" s="124"/>
      <c r="E20" s="124"/>
      <c r="F20" s="124"/>
      <c r="G20" s="124"/>
      <c r="H20" s="124">
        <v>2020</v>
      </c>
      <c r="I20" s="124" t="s">
        <v>249</v>
      </c>
      <c r="J20" s="123">
        <v>17.023799999999998</v>
      </c>
      <c r="K20" s="124"/>
      <c r="L20" s="119">
        <v>0.33</v>
      </c>
      <c r="M20" s="124"/>
      <c r="N20" s="124"/>
      <c r="O20" s="124"/>
    </row>
    <row r="21" spans="2:30" ht="18.75" customHeight="1" x14ac:dyDescent="0.25">
      <c r="B21" s="122"/>
      <c r="C21" s="122"/>
      <c r="D21" s="122"/>
      <c r="E21" s="122"/>
      <c r="F21" s="122"/>
      <c r="G21" s="122"/>
      <c r="H21" s="122">
        <v>2021</v>
      </c>
      <c r="I21" s="121" t="s">
        <v>249</v>
      </c>
      <c r="J21" s="120">
        <v>17.023799999999998</v>
      </c>
      <c r="K21" s="122"/>
      <c r="L21" s="122">
        <v>0.33</v>
      </c>
      <c r="M21" s="122"/>
      <c r="N21" s="122"/>
      <c r="O21" s="122"/>
    </row>
    <row r="22" spans="2:30" ht="18.75" customHeight="1" x14ac:dyDescent="0.25">
      <c r="B22" s="124"/>
      <c r="C22" s="124"/>
      <c r="D22" s="124"/>
      <c r="E22" s="124"/>
      <c r="F22" s="124"/>
      <c r="G22" s="124"/>
      <c r="H22" s="124">
        <v>2025</v>
      </c>
      <c r="I22" s="124"/>
      <c r="J22" s="123">
        <v>13.973599999999999</v>
      </c>
      <c r="K22" s="124"/>
      <c r="L22" s="124"/>
      <c r="M22" s="124"/>
      <c r="N22" s="124"/>
      <c r="O22" s="124"/>
    </row>
    <row r="23" spans="2:30" ht="18.75" customHeight="1" x14ac:dyDescent="0.25">
      <c r="B23" s="122"/>
      <c r="C23" s="122"/>
      <c r="D23" s="122"/>
      <c r="E23" s="122"/>
      <c r="F23" s="122"/>
      <c r="G23" s="122"/>
      <c r="H23" s="122">
        <v>2030</v>
      </c>
      <c r="I23" s="122"/>
      <c r="J23" s="120">
        <v>9.5486000000000004</v>
      </c>
      <c r="K23" s="122"/>
      <c r="L23" s="122"/>
      <c r="M23" s="122"/>
      <c r="N23" s="122"/>
      <c r="O23" s="122"/>
    </row>
    <row r="24" spans="2:30" ht="18.75" customHeight="1" x14ac:dyDescent="0.25">
      <c r="B24" s="124"/>
      <c r="C24" s="124"/>
      <c r="D24" s="124"/>
      <c r="E24" s="124"/>
      <c r="F24" s="124"/>
      <c r="G24" s="124"/>
      <c r="H24" s="124">
        <v>2035</v>
      </c>
      <c r="I24" s="124"/>
      <c r="J24" s="123">
        <v>7.5076000000000001</v>
      </c>
      <c r="K24" s="124"/>
      <c r="L24" s="124"/>
      <c r="M24" s="124"/>
      <c r="N24" s="124"/>
      <c r="O24" s="124"/>
    </row>
    <row r="25" spans="2:30" ht="18.75" customHeight="1" x14ac:dyDescent="0.25">
      <c r="B25" s="122"/>
      <c r="C25" s="122"/>
      <c r="D25" s="122"/>
      <c r="E25" s="122"/>
      <c r="F25" s="122"/>
      <c r="G25" s="122"/>
      <c r="H25" s="122">
        <v>2040</v>
      </c>
      <c r="I25" s="121"/>
      <c r="J25" s="120">
        <v>5.294999999999999</v>
      </c>
      <c r="K25" s="122"/>
      <c r="L25" s="122"/>
      <c r="M25" s="122"/>
      <c r="N25" s="122"/>
      <c r="O25" s="122"/>
    </row>
    <row r="26" spans="2:30" ht="18.75" customHeight="1" x14ac:dyDescent="0.25">
      <c r="B26" s="124"/>
      <c r="C26" s="124"/>
      <c r="D26" s="124"/>
      <c r="E26" s="124"/>
      <c r="F26" s="124"/>
      <c r="G26" s="124"/>
      <c r="H26" s="124">
        <v>2045</v>
      </c>
      <c r="I26" s="124"/>
      <c r="J26" s="123">
        <v>3.5409999999999995</v>
      </c>
      <c r="K26" s="124"/>
      <c r="L26" s="124"/>
      <c r="M26" s="124"/>
      <c r="N26" s="124"/>
      <c r="O26" s="124"/>
    </row>
    <row r="27" spans="2:30" ht="18.75" customHeight="1" thickBot="1" x14ac:dyDescent="0.3">
      <c r="B27" s="118"/>
      <c r="C27" s="118"/>
      <c r="D27" s="118"/>
      <c r="E27" s="118"/>
      <c r="F27" s="118"/>
      <c r="G27" s="118"/>
      <c r="H27" s="118">
        <v>2050</v>
      </c>
      <c r="I27" s="118"/>
      <c r="J27" s="117">
        <v>0</v>
      </c>
      <c r="K27" s="118"/>
      <c r="L27" s="118"/>
      <c r="M27" s="118"/>
      <c r="N27" s="118"/>
      <c r="O27" s="118"/>
    </row>
  </sheetData>
  <mergeCells count="2">
    <mergeCell ref="H6:N6"/>
    <mergeCell ref="H7:N7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16"/>
  <sheetViews>
    <sheetView tabSelected="1" zoomScaleNormal="100" workbookViewId="0">
      <selection activeCell="O13" sqref="O13"/>
    </sheetView>
  </sheetViews>
  <sheetFormatPr defaultRowHeight="13.2" x14ac:dyDescent="0.25"/>
  <cols>
    <col min="1" max="1" width="2.88671875" customWidth="1"/>
    <col min="2" max="2" width="18.5546875" customWidth="1"/>
    <col min="3" max="3" width="26.44140625" customWidth="1"/>
    <col min="4" max="5" width="11.44140625" customWidth="1"/>
    <col min="6" max="6" width="10.33203125" customWidth="1"/>
    <col min="7" max="7" width="26.33203125" customWidth="1"/>
    <col min="8" max="14" width="7.5546875" customWidth="1"/>
    <col min="15" max="15" width="16.109375" customWidth="1"/>
    <col min="16" max="16" width="13.88671875" customWidth="1"/>
    <col min="17" max="17" width="15.44140625" customWidth="1"/>
    <col min="18" max="18" width="20.109375" customWidth="1"/>
    <col min="19" max="19" width="11.44140625" customWidth="1"/>
  </cols>
  <sheetData>
    <row r="2" spans="2:19" ht="17.399999999999999" x14ac:dyDescent="0.3">
      <c r="B2" s="249" t="s">
        <v>143</v>
      </c>
      <c r="C2" s="160"/>
      <c r="E2" s="145"/>
      <c r="H2" s="148"/>
      <c r="I2" s="148"/>
      <c r="J2" s="148"/>
      <c r="K2" s="148"/>
      <c r="L2" s="148"/>
      <c r="M2" s="148"/>
      <c r="N2" s="148"/>
      <c r="O2" s="148"/>
      <c r="P2" s="149"/>
      <c r="Q2" s="151"/>
      <c r="R2" s="146"/>
      <c r="S2" s="147"/>
    </row>
    <row r="3" spans="2:19" x14ac:dyDescent="0.25">
      <c r="B3" s="202"/>
      <c r="C3" s="144"/>
      <c r="E3" s="145"/>
      <c r="H3" s="148"/>
      <c r="I3" s="148"/>
      <c r="J3" s="148"/>
      <c r="K3" s="148"/>
      <c r="L3" s="148"/>
      <c r="M3" s="148"/>
      <c r="N3" s="148"/>
      <c r="O3" s="148"/>
      <c r="P3" s="149"/>
      <c r="Q3" s="151"/>
      <c r="R3" s="146"/>
      <c r="S3" s="147"/>
    </row>
    <row r="4" spans="2:19" ht="15.75" customHeight="1" x14ac:dyDescent="0.25">
      <c r="E4" s="155" t="s">
        <v>120</v>
      </c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6"/>
      <c r="Q4" s="154"/>
      <c r="R4" s="154"/>
    </row>
    <row r="5" spans="2:19" s="143" customFormat="1" ht="26.4" x14ac:dyDescent="0.25">
      <c r="B5" s="253" t="s">
        <v>73</v>
      </c>
      <c r="C5" s="253" t="s">
        <v>144</v>
      </c>
      <c r="D5" s="253" t="s">
        <v>122</v>
      </c>
      <c r="E5" s="253" t="s">
        <v>123</v>
      </c>
      <c r="F5" s="253" t="s">
        <v>124</v>
      </c>
      <c r="G5" s="253" t="s">
        <v>125</v>
      </c>
      <c r="H5" s="256" t="s">
        <v>198</v>
      </c>
      <c r="I5" s="256" t="s">
        <v>164</v>
      </c>
      <c r="J5" s="256" t="s">
        <v>165</v>
      </c>
      <c r="K5" s="256" t="s">
        <v>166</v>
      </c>
      <c r="L5" s="256" t="s">
        <v>167</v>
      </c>
      <c r="M5" s="256" t="s">
        <v>168</v>
      </c>
      <c r="N5" s="256" t="s">
        <v>126</v>
      </c>
      <c r="O5" s="253" t="s">
        <v>127</v>
      </c>
      <c r="P5" s="253" t="s">
        <v>128</v>
      </c>
      <c r="Q5" s="253" t="s">
        <v>129</v>
      </c>
      <c r="R5" s="253" t="s">
        <v>130</v>
      </c>
      <c r="S5"/>
    </row>
    <row r="6" spans="2:19" ht="39.6" x14ac:dyDescent="0.25">
      <c r="B6" s="138" t="s">
        <v>131</v>
      </c>
      <c r="C6" s="138" t="s">
        <v>83</v>
      </c>
      <c r="D6" s="138" t="s">
        <v>132</v>
      </c>
      <c r="E6" s="138" t="s">
        <v>133</v>
      </c>
      <c r="F6" s="138" t="s">
        <v>134</v>
      </c>
      <c r="G6" s="138" t="s">
        <v>135</v>
      </c>
      <c r="H6" s="302" t="s">
        <v>136</v>
      </c>
      <c r="I6" s="302"/>
      <c r="J6" s="302"/>
      <c r="K6" s="302"/>
      <c r="L6" s="302"/>
      <c r="M6" s="302"/>
      <c r="N6" s="302"/>
      <c r="O6" s="138" t="s">
        <v>137</v>
      </c>
      <c r="P6" s="138" t="s">
        <v>138</v>
      </c>
      <c r="Q6" s="138" t="s">
        <v>139</v>
      </c>
      <c r="R6" s="138" t="s">
        <v>140</v>
      </c>
    </row>
    <row r="7" spans="2:19" ht="40.200000000000003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  <c r="G7" s="137" t="s">
        <v>185</v>
      </c>
      <c r="H7" s="303" t="s">
        <v>182</v>
      </c>
      <c r="I7" s="303"/>
      <c r="J7" s="303"/>
      <c r="K7" s="303"/>
      <c r="L7" s="303"/>
      <c r="M7" s="303"/>
      <c r="N7" s="303"/>
      <c r="O7" s="137" t="s">
        <v>186</v>
      </c>
      <c r="P7" s="137" t="s">
        <v>187</v>
      </c>
      <c r="Q7" s="137" t="s">
        <v>188</v>
      </c>
      <c r="R7" s="137" t="s">
        <v>189</v>
      </c>
    </row>
    <row r="8" spans="2:19" ht="20.25" customHeight="1" x14ac:dyDescent="0.25">
      <c r="B8" s="165" t="str">
        <f>SEC_Processes!D8</f>
        <v>ELE_EX_WIND-ON</v>
      </c>
      <c r="C8" s="166" t="str">
        <f>SEC_Processes!E8</f>
        <v>Existing Onshore Wind Turbines</v>
      </c>
      <c r="D8" s="166" t="str">
        <f>SEC_Comm!C26</f>
        <v>WIND-ON</v>
      </c>
      <c r="E8" s="166" t="str">
        <f>SEC_Comm!C8</f>
        <v>ELEC_HV</v>
      </c>
      <c r="F8" s="168">
        <v>1</v>
      </c>
      <c r="G8" s="166">
        <v>31.536000000000001</v>
      </c>
      <c r="H8" s="168">
        <f>BALANCE!D13/1000</f>
        <v>6.2276934486274804</v>
      </c>
      <c r="I8" s="168">
        <v>6.2982500000000003</v>
      </c>
      <c r="J8" s="168">
        <v>5.8289999999999997</v>
      </c>
      <c r="K8" s="168">
        <v>4.3650000000000002</v>
      </c>
      <c r="L8" s="168">
        <v>7.3999999999999996E-2</v>
      </c>
      <c r="M8" s="168">
        <v>0</v>
      </c>
      <c r="N8" s="168">
        <v>0</v>
      </c>
      <c r="O8" s="236">
        <v>0.15</v>
      </c>
      <c r="P8" s="236">
        <f>BALANCE!E13/BALANCE!D13*1000/8760+0.01</f>
        <v>0.29637457639806086</v>
      </c>
      <c r="Q8" s="236">
        <f>50*4.5</f>
        <v>225</v>
      </c>
      <c r="R8" s="236">
        <v>1E-3</v>
      </c>
    </row>
    <row r="9" spans="2:19" ht="20.25" customHeight="1" thickBot="1" x14ac:dyDescent="0.3">
      <c r="B9" s="195" t="str">
        <f>SEC_Processes!D9</f>
        <v>ELE_EX_PV</v>
      </c>
      <c r="C9" s="195" t="str">
        <f>SEC_Processes!E9</f>
        <v>Existing Photovoltaics (all Types)</v>
      </c>
      <c r="D9" s="195" t="str">
        <f>SEC_Comm!C27</f>
        <v>SOLAR</v>
      </c>
      <c r="E9" s="195" t="str">
        <f>SEC_Comm!C8</f>
        <v>ELEC_HV</v>
      </c>
      <c r="F9" s="220">
        <v>1</v>
      </c>
      <c r="G9" s="195">
        <v>31.536000000000001</v>
      </c>
      <c r="H9" s="220">
        <f>BALANCE!D14/1000</f>
        <v>3.9549600000000003</v>
      </c>
      <c r="I9" s="220">
        <v>3.9549600000000003</v>
      </c>
      <c r="J9" s="220">
        <v>3.9549600000000003</v>
      </c>
      <c r="K9" s="220">
        <v>3.4839600000000002</v>
      </c>
      <c r="L9" s="220">
        <v>2.197092</v>
      </c>
      <c r="M9" s="220">
        <v>0.91022400000000003</v>
      </c>
      <c r="N9" s="220">
        <v>0</v>
      </c>
      <c r="O9" s="237">
        <v>0.02</v>
      </c>
      <c r="P9" s="237">
        <v>1</v>
      </c>
      <c r="Q9" s="237">
        <f>16*4.5</f>
        <v>72</v>
      </c>
      <c r="R9" s="237">
        <v>1E-3</v>
      </c>
    </row>
    <row r="12" spans="2:19" x14ac:dyDescent="0.25">
      <c r="B12" s="142"/>
    </row>
    <row r="16" spans="2:19" x14ac:dyDescent="0.25">
      <c r="I16" s="252"/>
    </row>
  </sheetData>
  <mergeCells count="2">
    <mergeCell ref="H6:N6"/>
    <mergeCell ref="H7:N7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5"/>
  <dimension ref="B2:R13"/>
  <sheetViews>
    <sheetView zoomScale="115" zoomScaleNormal="115" workbookViewId="0">
      <selection activeCell="F8" sqref="F8"/>
    </sheetView>
  </sheetViews>
  <sheetFormatPr defaultRowHeight="13.2" x14ac:dyDescent="0.25"/>
  <cols>
    <col min="1" max="1" width="2.88671875" customWidth="1"/>
    <col min="2" max="2" width="18.6640625" customWidth="1"/>
    <col min="3" max="3" width="32" customWidth="1"/>
    <col min="4" max="6" width="11.44140625" customWidth="1"/>
    <col min="7" max="7" width="18.33203125" customWidth="1"/>
    <col min="8" max="9" width="15.6640625" customWidth="1"/>
    <col min="10" max="10" width="22.5546875" customWidth="1"/>
    <col min="11" max="11" width="13" customWidth="1"/>
    <col min="12" max="13" width="12.6640625" customWidth="1"/>
    <col min="14" max="14" width="16" customWidth="1"/>
    <col min="15" max="15" width="15" customWidth="1"/>
    <col min="16" max="16" width="13.33203125" customWidth="1"/>
    <col min="17" max="17" width="13.6640625" customWidth="1"/>
    <col min="18" max="18" width="3.6640625" customWidth="1"/>
  </cols>
  <sheetData>
    <row r="2" spans="2:18" ht="17.399999999999999" x14ac:dyDescent="0.3">
      <c r="B2" s="249" t="s">
        <v>147</v>
      </c>
      <c r="C2" s="160"/>
      <c r="E2" s="145"/>
      <c r="L2" s="167"/>
      <c r="M2" s="167"/>
      <c r="N2" s="149"/>
      <c r="O2" s="151"/>
      <c r="P2" s="146"/>
      <c r="Q2" s="147"/>
    </row>
    <row r="3" spans="2:18" x14ac:dyDescent="0.25">
      <c r="B3" s="150"/>
      <c r="C3" s="144"/>
      <c r="E3" s="145"/>
      <c r="L3" s="148"/>
      <c r="M3" s="148"/>
      <c r="N3" s="149"/>
      <c r="O3" s="151"/>
      <c r="P3" s="146"/>
      <c r="Q3" s="147"/>
    </row>
    <row r="4" spans="2:18" ht="15.75" customHeight="1" x14ac:dyDescent="0.25">
      <c r="E4" s="155" t="s">
        <v>120</v>
      </c>
      <c r="F4" s="153"/>
      <c r="G4" s="153"/>
      <c r="H4" s="153"/>
      <c r="I4" s="153"/>
      <c r="J4" s="153"/>
      <c r="K4" s="153"/>
      <c r="L4" s="153"/>
      <c r="M4" s="153"/>
      <c r="N4" s="156"/>
      <c r="O4" s="154"/>
      <c r="P4" s="154"/>
      <c r="Q4" s="154"/>
    </row>
    <row r="5" spans="2:18" s="143" customFormat="1" ht="26.4" x14ac:dyDescent="0.25">
      <c r="B5" s="253" t="s">
        <v>73</v>
      </c>
      <c r="C5" s="253" t="s">
        <v>144</v>
      </c>
      <c r="D5" s="253" t="s">
        <v>122</v>
      </c>
      <c r="E5" s="253" t="s">
        <v>123</v>
      </c>
      <c r="F5" s="253" t="s">
        <v>124</v>
      </c>
      <c r="G5" s="253" t="s">
        <v>148</v>
      </c>
      <c r="H5" s="253" t="s">
        <v>149</v>
      </c>
      <c r="I5" s="253" t="s">
        <v>150</v>
      </c>
      <c r="J5" s="253" t="s">
        <v>151</v>
      </c>
      <c r="K5" s="253" t="s">
        <v>125</v>
      </c>
      <c r="L5" s="256" t="s">
        <v>163</v>
      </c>
      <c r="M5" s="256" t="s">
        <v>126</v>
      </c>
      <c r="N5" s="253" t="s">
        <v>127</v>
      </c>
      <c r="O5" s="253" t="s">
        <v>128</v>
      </c>
      <c r="P5" s="253" t="s">
        <v>129</v>
      </c>
      <c r="Q5" s="253" t="s">
        <v>130</v>
      </c>
      <c r="R5"/>
    </row>
    <row r="6" spans="2:18" ht="42" customHeight="1" x14ac:dyDescent="0.25">
      <c r="B6" s="138" t="s">
        <v>131</v>
      </c>
      <c r="C6" s="138" t="s">
        <v>83</v>
      </c>
      <c r="D6" s="138" t="s">
        <v>132</v>
      </c>
      <c r="E6" s="138" t="s">
        <v>133</v>
      </c>
      <c r="F6" s="138" t="s">
        <v>134</v>
      </c>
      <c r="G6" s="138" t="s">
        <v>152</v>
      </c>
      <c r="H6" s="138" t="s">
        <v>153</v>
      </c>
      <c r="I6" s="138" t="s">
        <v>154</v>
      </c>
      <c r="J6" s="138" t="s">
        <v>155</v>
      </c>
      <c r="K6" s="138" t="s">
        <v>135</v>
      </c>
      <c r="L6" s="138" t="s">
        <v>136</v>
      </c>
      <c r="M6" s="138" t="s">
        <v>136</v>
      </c>
      <c r="N6" s="138" t="s">
        <v>137</v>
      </c>
      <c r="O6" s="138" t="s">
        <v>138</v>
      </c>
      <c r="P6" s="138" t="s">
        <v>139</v>
      </c>
      <c r="Q6" s="138" t="s">
        <v>140</v>
      </c>
    </row>
    <row r="7" spans="2:18" ht="79.8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  <c r="G7" s="137" t="s">
        <v>191</v>
      </c>
      <c r="H7" s="137" t="s">
        <v>193</v>
      </c>
      <c r="I7" s="137" t="s">
        <v>192</v>
      </c>
      <c r="J7" s="137" t="s">
        <v>194</v>
      </c>
      <c r="K7" s="137" t="s">
        <v>185</v>
      </c>
      <c r="L7" s="137" t="s">
        <v>182</v>
      </c>
      <c r="M7" s="137" t="s">
        <v>182</v>
      </c>
      <c r="N7" s="137" t="s">
        <v>186</v>
      </c>
      <c r="O7" s="137" t="s">
        <v>187</v>
      </c>
      <c r="P7" s="137" t="s">
        <v>188</v>
      </c>
      <c r="Q7" s="137" t="s">
        <v>189</v>
      </c>
    </row>
    <row r="8" spans="2:18" ht="15" customHeight="1" x14ac:dyDescent="0.25">
      <c r="B8" s="166" t="str">
        <f>SEC_Processes!D12</f>
        <v>CHP_EX_HC</v>
      </c>
      <c r="C8" s="166" t="str">
        <f>SEC_Processes!E12</f>
        <v>Existing Hard Coal CHPs - backpressure turbine</v>
      </c>
      <c r="D8" s="166" t="str">
        <f>SEC_Comm!C23</f>
        <v>HC</v>
      </c>
      <c r="E8" s="166"/>
      <c r="F8" s="222">
        <f>(L8*K8*O8)/(BALANCE!G11*BALANCE!H11/10^6)</f>
        <v>0.24771097483306254</v>
      </c>
      <c r="G8" s="223">
        <f>BALANCE!F11/(3.6*BALANCE!E11)</f>
        <v>2.3407644073796177</v>
      </c>
      <c r="H8" s="224"/>
      <c r="I8" s="224"/>
      <c r="J8" s="224"/>
      <c r="K8" s="224">
        <v>31.536000000000001</v>
      </c>
      <c r="L8" s="222">
        <f>BALANCE!D11/1000</f>
        <v>4.0946000000000025</v>
      </c>
      <c r="M8" s="222">
        <v>0</v>
      </c>
      <c r="N8" s="223">
        <v>1</v>
      </c>
      <c r="O8" s="223">
        <f>BALANCE!E11/BALANCE!D11*1000/8760</f>
        <v>0.45331450019816694</v>
      </c>
      <c r="P8" s="223">
        <f>48*4.5</f>
        <v>216</v>
      </c>
      <c r="Q8" s="223">
        <f>3.2/3.6*4.5</f>
        <v>4</v>
      </c>
    </row>
    <row r="9" spans="2:18" ht="15" customHeight="1" x14ac:dyDescent="0.25">
      <c r="B9" s="165"/>
      <c r="C9" s="165"/>
      <c r="D9" s="165"/>
      <c r="E9" s="166" t="str">
        <f>SEC_Comm!C8</f>
        <v>ELEC_HV</v>
      </c>
      <c r="F9" s="176"/>
      <c r="G9" s="176"/>
      <c r="H9" s="176"/>
      <c r="I9" s="176"/>
      <c r="J9" s="176"/>
      <c r="K9" s="165"/>
      <c r="L9" s="184"/>
      <c r="M9" s="184"/>
      <c r="N9" s="239"/>
      <c r="O9" s="239"/>
      <c r="P9" s="239"/>
      <c r="Q9" s="239"/>
    </row>
    <row r="10" spans="2:18" ht="15" customHeight="1" x14ac:dyDescent="0.25">
      <c r="B10" s="165"/>
      <c r="C10" s="165"/>
      <c r="D10" s="165"/>
      <c r="E10" s="166" t="str">
        <f>SEC_Comm!C10</f>
        <v>HEAT_HT</v>
      </c>
      <c r="F10" s="176"/>
      <c r="G10" s="176"/>
      <c r="H10" s="176"/>
      <c r="I10" s="176"/>
      <c r="J10" s="176"/>
      <c r="K10" s="165"/>
      <c r="L10" s="184"/>
      <c r="M10" s="184"/>
      <c r="N10" s="239"/>
      <c r="O10" s="239"/>
      <c r="P10" s="239"/>
      <c r="Q10" s="239"/>
    </row>
    <row r="11" spans="2:18" ht="15" customHeight="1" x14ac:dyDescent="0.25">
      <c r="B11" s="187" t="str">
        <f>SEC_Processes!D13</f>
        <v>CHP_EX_NAT-GAS</v>
      </c>
      <c r="C11" s="187" t="str">
        <f>SEC_Processes!E13</f>
        <v>Existing Natural Gas CHPs - pass-out turbine</v>
      </c>
      <c r="D11" s="187" t="str">
        <f>SEC_Comm!C24</f>
        <v>BC</v>
      </c>
      <c r="E11" s="187"/>
      <c r="F11" s="226">
        <v>0.55000000000000004</v>
      </c>
      <c r="G11" s="225"/>
      <c r="H11" s="238">
        <v>0.2</v>
      </c>
      <c r="I11" s="238">
        <v>0.7</v>
      </c>
      <c r="J11" s="225">
        <v>0.25</v>
      </c>
      <c r="K11" s="225">
        <v>31.536000000000001</v>
      </c>
      <c r="L11" s="226">
        <f>BALANCE!D12/1000</f>
        <v>1.6565000000000001</v>
      </c>
      <c r="M11" s="226">
        <f>L11</f>
        <v>1.6565000000000001</v>
      </c>
      <c r="N11" s="238">
        <v>1</v>
      </c>
      <c r="O11" s="238">
        <v>0.59850000000000003</v>
      </c>
      <c r="P11" s="238">
        <v>97.199999999999989</v>
      </c>
      <c r="Q11" s="238">
        <v>2.6999999999999997</v>
      </c>
    </row>
    <row r="12" spans="2:18" ht="15" customHeight="1" x14ac:dyDescent="0.25">
      <c r="B12" s="189"/>
      <c r="C12" s="189"/>
      <c r="D12" s="189"/>
      <c r="E12" s="187" t="str">
        <f>SEC_Comm!C8</f>
        <v>ELEC_HV</v>
      </c>
      <c r="F12" s="190"/>
      <c r="G12" s="190"/>
      <c r="H12" s="190"/>
      <c r="I12" s="190"/>
      <c r="J12" s="190"/>
      <c r="K12" s="189"/>
      <c r="L12" s="191"/>
      <c r="M12" s="191"/>
      <c r="N12" s="189"/>
      <c r="O12" s="189"/>
      <c r="P12" s="189"/>
      <c r="Q12" s="189"/>
    </row>
    <row r="13" spans="2:18" ht="15" customHeight="1" thickBot="1" x14ac:dyDescent="0.3">
      <c r="B13" s="192"/>
      <c r="C13" s="192"/>
      <c r="D13" s="192"/>
      <c r="E13" s="193" t="str">
        <f>SEC_Comm!C10</f>
        <v>HEAT_HT</v>
      </c>
      <c r="F13" s="194"/>
      <c r="G13" s="194"/>
      <c r="H13" s="194"/>
      <c r="I13" s="194"/>
      <c r="J13" s="194"/>
      <c r="K13" s="192"/>
      <c r="L13" s="192"/>
      <c r="M13" s="192"/>
      <c r="N13" s="192"/>
      <c r="O13" s="192"/>
      <c r="P13" s="192"/>
      <c r="Q13" s="192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1532-7354-4591-8AE5-CE701215297D}">
  <dimension ref="B2:L8"/>
  <sheetViews>
    <sheetView workbookViewId="0">
      <selection activeCell="J8" sqref="J8"/>
    </sheetView>
  </sheetViews>
  <sheetFormatPr defaultRowHeight="13.2" x14ac:dyDescent="0.25"/>
  <cols>
    <col min="2" max="3" width="24.44140625" customWidth="1"/>
    <col min="4" max="4" width="10" customWidth="1"/>
    <col min="5" max="5" width="11.5546875" customWidth="1"/>
    <col min="6" max="6" width="11.109375" customWidth="1"/>
    <col min="7" max="7" width="16.5546875" customWidth="1"/>
    <col min="8" max="8" width="12.77734375" customWidth="1"/>
    <col min="9" max="9" width="12.6640625" customWidth="1"/>
    <col min="10" max="10" width="12.33203125" customWidth="1"/>
    <col min="11" max="11" width="14.6640625" customWidth="1"/>
    <col min="12" max="12" width="16.109375" customWidth="1"/>
  </cols>
  <sheetData>
    <row r="2" spans="2:12" ht="17.399999999999999" x14ac:dyDescent="0.3">
      <c r="B2" s="249" t="s">
        <v>295</v>
      </c>
      <c r="C2" s="160"/>
      <c r="E2" s="145"/>
      <c r="H2" s="167"/>
      <c r="I2" s="167"/>
      <c r="J2" s="151"/>
      <c r="K2" s="146"/>
      <c r="L2" s="147"/>
    </row>
    <row r="3" spans="2:12" x14ac:dyDescent="0.25">
      <c r="B3" s="150"/>
      <c r="C3" s="144"/>
      <c r="E3" s="145"/>
      <c r="H3" s="148"/>
      <c r="I3" s="148"/>
      <c r="J3" s="151"/>
      <c r="K3" s="146"/>
      <c r="L3" s="147"/>
    </row>
    <row r="4" spans="2:12" x14ac:dyDescent="0.25">
      <c r="E4" s="155" t="s">
        <v>120</v>
      </c>
      <c r="F4" s="153"/>
      <c r="G4" s="153"/>
      <c r="H4" s="153"/>
      <c r="I4" s="153"/>
      <c r="J4" s="154"/>
      <c r="K4" s="154"/>
      <c r="L4" s="154"/>
    </row>
    <row r="5" spans="2:12" ht="26.4" x14ac:dyDescent="0.25">
      <c r="B5" s="253" t="s">
        <v>73</v>
      </c>
      <c r="C5" s="253" t="s">
        <v>144</v>
      </c>
      <c r="D5" s="253" t="s">
        <v>122</v>
      </c>
      <c r="E5" s="253" t="s">
        <v>123</v>
      </c>
      <c r="F5" s="253" t="s">
        <v>124</v>
      </c>
      <c r="G5" s="253" t="s">
        <v>125</v>
      </c>
      <c r="H5" s="256" t="s">
        <v>163</v>
      </c>
      <c r="I5" s="256" t="s">
        <v>166</v>
      </c>
      <c r="J5" s="253" t="s">
        <v>128</v>
      </c>
      <c r="K5" s="253" t="s">
        <v>129</v>
      </c>
      <c r="L5" s="253" t="s">
        <v>130</v>
      </c>
    </row>
    <row r="6" spans="2:12" ht="39.6" x14ac:dyDescent="0.25">
      <c r="B6" s="138" t="s">
        <v>131</v>
      </c>
      <c r="C6" s="138" t="s">
        <v>83</v>
      </c>
      <c r="D6" s="138" t="s">
        <v>132</v>
      </c>
      <c r="E6" s="138" t="s">
        <v>133</v>
      </c>
      <c r="F6" s="138" t="s">
        <v>134</v>
      </c>
      <c r="G6" s="138" t="s">
        <v>135</v>
      </c>
      <c r="H6" s="138" t="s">
        <v>136</v>
      </c>
      <c r="I6" s="138" t="s">
        <v>136</v>
      </c>
      <c r="J6" s="138" t="s">
        <v>138</v>
      </c>
      <c r="K6" s="138" t="s">
        <v>139</v>
      </c>
      <c r="L6" s="138" t="s">
        <v>140</v>
      </c>
    </row>
    <row r="7" spans="2:12" ht="66.599999999999994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  <c r="G7" s="137" t="s">
        <v>185</v>
      </c>
      <c r="H7" s="137" t="s">
        <v>182</v>
      </c>
      <c r="I7" s="137" t="s">
        <v>182</v>
      </c>
      <c r="J7" s="137" t="s">
        <v>187</v>
      </c>
      <c r="K7" s="137" t="s">
        <v>188</v>
      </c>
      <c r="L7" s="137" t="s">
        <v>189</v>
      </c>
    </row>
    <row r="8" spans="2:12" x14ac:dyDescent="0.25">
      <c r="B8" t="str">
        <f>SEC_Processes!D14</f>
        <v>HPL_EX_HC</v>
      </c>
      <c r="C8" t="str">
        <f>SEC_Processes!E14</f>
        <v>Existing Hard Coal Heating Plants</v>
      </c>
      <c r="D8" t="str">
        <f>SEC_Comm!C23</f>
        <v>HC</v>
      </c>
      <c r="E8" t="str">
        <f>SEC_Comm!C10</f>
        <v>HEAT_HT</v>
      </c>
      <c r="F8" s="288">
        <f>(BALANCE!F15/10^3)/(BALANCE!G15*BALANCE!H15/10^6)</f>
        <v>0.84618852121111177</v>
      </c>
      <c r="G8">
        <v>31.536000000000001</v>
      </c>
      <c r="H8">
        <f>BALANCE!D15/1000</f>
        <v>19.806000000000001</v>
      </c>
      <c r="I8">
        <v>0</v>
      </c>
      <c r="J8" s="2">
        <f>ROUNDUP(BALANCE!F15/(BALANCE!D15*8760*3.6/1000),2)</f>
        <v>0.14000000000000001</v>
      </c>
      <c r="K8">
        <v>1</v>
      </c>
      <c r="L8">
        <v>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I14"/>
  <sheetViews>
    <sheetView zoomScaleNormal="100" workbookViewId="0">
      <selection activeCell="E9" sqref="E9"/>
    </sheetView>
  </sheetViews>
  <sheetFormatPr defaultRowHeight="13.2" x14ac:dyDescent="0.25"/>
  <cols>
    <col min="1" max="1" width="2.88671875" customWidth="1"/>
    <col min="2" max="2" width="16.5546875" customWidth="1"/>
    <col min="3" max="3" width="66.109375" customWidth="1"/>
    <col min="4" max="4" width="12.109375" customWidth="1"/>
    <col min="5" max="5" width="13.5546875" customWidth="1"/>
    <col min="6" max="6" width="10" customWidth="1"/>
    <col min="7" max="7" width="3.6640625" customWidth="1"/>
    <col min="9" max="9" width="53.33203125" customWidth="1"/>
  </cols>
  <sheetData>
    <row r="2" spans="2:9" ht="17.399999999999999" x14ac:dyDescent="0.3">
      <c r="B2" s="249" t="s">
        <v>157</v>
      </c>
      <c r="C2" s="160"/>
      <c r="E2" s="145"/>
    </row>
    <row r="3" spans="2:9" x14ac:dyDescent="0.25">
      <c r="B3" s="150"/>
      <c r="C3" s="144"/>
      <c r="E3" s="145"/>
    </row>
    <row r="4" spans="2:9" ht="15.75" customHeight="1" x14ac:dyDescent="0.25">
      <c r="E4" s="155" t="s">
        <v>120</v>
      </c>
      <c r="F4" s="153"/>
    </row>
    <row r="5" spans="2:9" ht="15.75" customHeight="1" x14ac:dyDescent="0.25">
      <c r="B5" s="253" t="s">
        <v>73</v>
      </c>
      <c r="C5" s="253" t="s">
        <v>121</v>
      </c>
      <c r="D5" s="253" t="s">
        <v>122</v>
      </c>
      <c r="E5" s="253" t="s">
        <v>123</v>
      </c>
      <c r="F5" s="253" t="s">
        <v>124</v>
      </c>
      <c r="I5" s="164"/>
    </row>
    <row r="6" spans="2:9" ht="31.65" customHeight="1" x14ac:dyDescent="0.25">
      <c r="B6" s="276" t="s">
        <v>131</v>
      </c>
      <c r="C6" s="276" t="s">
        <v>83</v>
      </c>
      <c r="D6" s="276" t="s">
        <v>132</v>
      </c>
      <c r="E6" s="276" t="s">
        <v>133</v>
      </c>
      <c r="F6" s="276" t="s">
        <v>134</v>
      </c>
    </row>
    <row r="7" spans="2:9" ht="31.65" customHeight="1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</row>
    <row r="8" spans="2:9" ht="18.75" customHeight="1" x14ac:dyDescent="0.25">
      <c r="B8" s="281" t="str">
        <f>SEC_Processes!D15</f>
        <v>TRANSF_HV-LV</v>
      </c>
      <c r="C8" s="281" t="str">
        <f>SEC_Processes!E15</f>
        <v>Electricity Transformation and Distribution High Voltage to Low Voltage</v>
      </c>
      <c r="D8" s="281" t="str">
        <f>SEC_Comm!C8</f>
        <v>ELEC_HV</v>
      </c>
      <c r="E8" s="281" t="str">
        <f>SEC_Comm!C9</f>
        <v>ELEC_LV</v>
      </c>
      <c r="F8" s="282">
        <f>BALANCE!E29*BALANCE!E30*BALANCE!E31</f>
        <v>0.90779680266244211</v>
      </c>
      <c r="H8" s="1">
        <f>1-F8</f>
        <v>9.2203197337557885E-2</v>
      </c>
    </row>
    <row r="9" spans="2:9" ht="18.75" customHeight="1" thickBot="1" x14ac:dyDescent="0.3">
      <c r="B9" s="283" t="str">
        <f>SEC_Processes!D16</f>
        <v>TRANSF_HT-DH</v>
      </c>
      <c r="C9" s="283" t="str">
        <f>SEC_Processes!E16</f>
        <v>District heating network</v>
      </c>
      <c r="D9" s="283" t="str">
        <f>SEC_Comm!C10</f>
        <v>HEAT_HT</v>
      </c>
      <c r="E9" s="283" t="str">
        <f>SEC_Comm!C11</f>
        <v>HEAT_DH</v>
      </c>
      <c r="F9" s="283">
        <f>BALANCE!E32</f>
        <v>0.85899999999999999</v>
      </c>
      <c r="H9" s="1">
        <f>1-F9</f>
        <v>0.14100000000000001</v>
      </c>
    </row>
    <row r="10" spans="2:9" ht="13.8" thickTop="1" x14ac:dyDescent="0.25">
      <c r="H10" s="274"/>
    </row>
    <row r="12" spans="2:9" x14ac:dyDescent="0.25">
      <c r="H12" s="252"/>
    </row>
    <row r="13" spans="2:9" ht="18.75" customHeight="1" x14ac:dyDescent="0.25">
      <c r="E13" s="142"/>
      <c r="F13" s="142"/>
      <c r="H13" s="252"/>
    </row>
    <row r="14" spans="2:9" x14ac:dyDescent="0.25">
      <c r="E14" s="142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H15"/>
  <sheetViews>
    <sheetView zoomScale="115" zoomScaleNormal="115" workbookViewId="0">
      <selection activeCell="C16" sqref="C16"/>
    </sheetView>
  </sheetViews>
  <sheetFormatPr defaultRowHeight="13.2" x14ac:dyDescent="0.25"/>
  <cols>
    <col min="1" max="1" width="2.88671875" customWidth="1"/>
    <col min="2" max="2" width="20.6640625" customWidth="1"/>
    <col min="3" max="3" width="13.88671875" customWidth="1"/>
    <col min="6" max="6" width="10.6640625" customWidth="1"/>
  </cols>
  <sheetData>
    <row r="2" spans="2:8" ht="15" x14ac:dyDescent="0.25">
      <c r="B2" s="185" t="s">
        <v>158</v>
      </c>
      <c r="C2" s="158"/>
      <c r="D2" s="158"/>
      <c r="E2" s="158"/>
      <c r="F2" s="158"/>
      <c r="G2" s="158"/>
      <c r="H2" s="158"/>
    </row>
    <row r="3" spans="2:8" x14ac:dyDescent="0.25">
      <c r="B3" s="186"/>
      <c r="C3" s="186"/>
      <c r="D3" s="186"/>
      <c r="E3" s="186"/>
      <c r="F3" s="159"/>
      <c r="G3" s="159"/>
      <c r="H3" s="159"/>
    </row>
    <row r="4" spans="2:8" ht="15.75" customHeight="1" x14ac:dyDescent="0.25">
      <c r="B4" s="157"/>
      <c r="C4" s="155" t="s">
        <v>159</v>
      </c>
      <c r="D4" s="159"/>
      <c r="E4" s="159"/>
    </row>
    <row r="5" spans="2:8" ht="15.75" customHeight="1" x14ac:dyDescent="0.25">
      <c r="B5" s="253" t="s">
        <v>73</v>
      </c>
      <c r="C5" s="253" t="s">
        <v>33</v>
      </c>
      <c r="D5" s="253" t="s">
        <v>141</v>
      </c>
      <c r="E5" s="253" t="s">
        <v>142</v>
      </c>
      <c r="F5" s="253" t="s">
        <v>156</v>
      </c>
      <c r="H5" s="245" t="s">
        <v>160</v>
      </c>
    </row>
    <row r="6" spans="2:8" ht="39.6" x14ac:dyDescent="0.25">
      <c r="B6" s="138" t="s">
        <v>131</v>
      </c>
      <c r="C6" s="138" t="s">
        <v>161</v>
      </c>
      <c r="D6" s="302" t="s">
        <v>162</v>
      </c>
      <c r="E6" s="302"/>
      <c r="F6" s="302"/>
    </row>
    <row r="7" spans="2:8" ht="27" thickBot="1" x14ac:dyDescent="0.3">
      <c r="B7" s="137" t="s">
        <v>190</v>
      </c>
      <c r="C7" s="137" t="s">
        <v>195</v>
      </c>
      <c r="D7" s="303" t="s">
        <v>196</v>
      </c>
      <c r="E7" s="303"/>
      <c r="F7" s="303"/>
    </row>
    <row r="8" spans="2:8" ht="15.75" customHeight="1" x14ac:dyDescent="0.25">
      <c r="B8" s="166" t="str">
        <f>SEC_Processes!D10</f>
        <v>ELE_EX_HC</v>
      </c>
      <c r="C8" s="169" t="s">
        <v>58</v>
      </c>
      <c r="D8" s="240">
        <v>94.19</v>
      </c>
      <c r="E8" s="240"/>
      <c r="F8" s="240"/>
    </row>
    <row r="9" spans="2:8" ht="15.75" customHeight="1" x14ac:dyDescent="0.25">
      <c r="B9" s="187" t="str">
        <f>SEC_Processes!D11</f>
        <v>ELE_EX_BC</v>
      </c>
      <c r="C9" s="188" t="s">
        <v>58</v>
      </c>
      <c r="D9" s="241"/>
      <c r="E9" s="241">
        <v>109.08</v>
      </c>
      <c r="F9" s="241"/>
    </row>
    <row r="10" spans="2:8" ht="15.75" customHeight="1" x14ac:dyDescent="0.25">
      <c r="B10" s="166" t="str">
        <f>SEC_Processes!D12</f>
        <v>CHP_EX_HC</v>
      </c>
      <c r="C10" s="169" t="s">
        <v>58</v>
      </c>
      <c r="D10" s="240">
        <v>94.19</v>
      </c>
      <c r="E10" s="240"/>
      <c r="F10" s="240"/>
    </row>
    <row r="11" spans="2:8" ht="15.75" customHeight="1" x14ac:dyDescent="0.25">
      <c r="B11" s="187" t="str">
        <f>SEC_Processes!D13</f>
        <v>CHP_EX_NAT-GAS</v>
      </c>
      <c r="C11" s="188" t="s">
        <v>58</v>
      </c>
      <c r="D11" s="241"/>
      <c r="E11" s="241"/>
      <c r="F11" s="241">
        <v>55.82</v>
      </c>
    </row>
    <row r="12" spans="2:8" ht="15.75" customHeight="1" thickBot="1" x14ac:dyDescent="0.3">
      <c r="B12" s="172"/>
      <c r="C12" s="174"/>
      <c r="D12" s="242"/>
      <c r="E12" s="243"/>
      <c r="F12" s="243"/>
      <c r="H12" s="142"/>
    </row>
    <row r="15" spans="2:8" x14ac:dyDescent="0.25">
      <c r="F15" t="s">
        <v>169</v>
      </c>
    </row>
  </sheetData>
  <mergeCells count="2">
    <mergeCell ref="D6:F6"/>
    <mergeCell ref="D7:F7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65AD-C265-4BE6-9DA6-D03BC206A38C}">
  <sheetPr>
    <tabColor theme="3" tint="0.59999389629810485"/>
    <pageSetUpPr fitToPage="1"/>
  </sheetPr>
  <dimension ref="B1:AL35"/>
  <sheetViews>
    <sheetView zoomScale="85" zoomScaleNormal="85" workbookViewId="0">
      <selection activeCell="P28" sqref="P28"/>
    </sheetView>
  </sheetViews>
  <sheetFormatPr defaultColWidth="9.21875" defaultRowHeight="14.4" x14ac:dyDescent="0.3"/>
  <cols>
    <col min="1" max="1" width="2.77734375" style="115" customWidth="1"/>
    <col min="2" max="4" width="6.44140625" style="115" customWidth="1"/>
    <col min="5" max="5" width="7.21875" style="115" customWidth="1"/>
    <col min="6" max="6" width="9.21875" style="115" customWidth="1"/>
    <col min="7" max="8" width="7.21875" style="115" customWidth="1"/>
    <col min="9" max="10" width="3.44140625" style="115" customWidth="1"/>
    <col min="11" max="11" width="7.21875" style="115" customWidth="1"/>
    <col min="12" max="12" width="12" style="115" customWidth="1"/>
    <col min="13" max="13" width="8.88671875" style="115" customWidth="1"/>
    <col min="14" max="16" width="7.21875" style="115" customWidth="1"/>
    <col min="17" max="17" width="8.21875" style="115" customWidth="1"/>
    <col min="18" max="18" width="12.21875" style="115" customWidth="1"/>
    <col min="19" max="19" width="8.6640625" style="115" customWidth="1"/>
    <col min="20" max="21" width="7.21875" style="115" customWidth="1"/>
    <col min="22" max="22" width="5" style="115" customWidth="1"/>
    <col min="23" max="23" width="7.21875" style="115" customWidth="1"/>
    <col min="24" max="24" width="12.77734375" style="115" customWidth="1"/>
    <col min="25" max="25" width="7.21875" style="115" customWidth="1"/>
    <col min="26" max="26" width="5.44140625" style="115" customWidth="1"/>
    <col min="27" max="27" width="6.44140625" style="115" customWidth="1"/>
    <col min="28" max="28" width="5.44140625" style="115" customWidth="1"/>
    <col min="29" max="29" width="7" style="115" customWidth="1"/>
    <col min="30" max="30" width="12" style="115" customWidth="1"/>
    <col min="31" max="31" width="7" style="115" customWidth="1"/>
    <col min="32" max="32" width="5.77734375" style="115" customWidth="1"/>
    <col min="33" max="33" width="13" style="115" customWidth="1"/>
    <col min="34" max="34" width="5.77734375" style="115" customWidth="1"/>
    <col min="35" max="35" width="4.21875" style="115" customWidth="1"/>
    <col min="36" max="36" width="12.77734375" style="115" customWidth="1"/>
    <col min="37" max="38" width="4.21875" style="115" customWidth="1"/>
    <col min="39" max="16384" width="9.21875" style="115"/>
  </cols>
  <sheetData>
    <row r="1" spans="2:35" ht="18" x14ac:dyDescent="0.35">
      <c r="B1" s="116" t="s">
        <v>284</v>
      </c>
    </row>
    <row r="2" spans="2:35" ht="15.6" x14ac:dyDescent="0.3">
      <c r="B2" s="114" t="s">
        <v>290</v>
      </c>
    </row>
    <row r="5" spans="2:35" ht="15" thickBot="1" x14ac:dyDescent="0.35"/>
    <row r="6" spans="2:35" ht="15.6" thickTop="1" thickBot="1" x14ac:dyDescent="0.35">
      <c r="B6" s="113"/>
      <c r="C6" s="112"/>
      <c r="D6" s="111"/>
      <c r="E6" s="110"/>
      <c r="F6" s="109" t="s">
        <v>251</v>
      </c>
      <c r="G6" s="108" t="s">
        <v>252</v>
      </c>
      <c r="H6" s="107"/>
      <c r="I6" s="107"/>
      <c r="J6" s="107"/>
      <c r="K6" s="106" t="s">
        <v>252</v>
      </c>
      <c r="L6" s="109" t="s">
        <v>251</v>
      </c>
      <c r="M6" s="105">
        <v>144879.37399999998</v>
      </c>
      <c r="N6" s="113"/>
      <c r="O6" s="112"/>
      <c r="P6" s="111"/>
      <c r="Q6" s="104"/>
      <c r="R6" s="103" t="s">
        <v>253</v>
      </c>
      <c r="S6" s="102" t="s">
        <v>252</v>
      </c>
      <c r="T6" s="101"/>
      <c r="U6" s="101"/>
      <c r="V6" s="101"/>
      <c r="W6" s="100" t="s">
        <v>252</v>
      </c>
      <c r="X6" s="103" t="s">
        <v>253</v>
      </c>
      <c r="Y6" s="99">
        <v>7209.7110000000002</v>
      </c>
      <c r="Z6" s="113"/>
      <c r="AA6" s="112"/>
      <c r="AB6" s="111"/>
    </row>
    <row r="7" spans="2:35" ht="29.4" thickTop="1" x14ac:dyDescent="0.3">
      <c r="B7" s="98"/>
      <c r="C7" s="97" t="s">
        <v>88</v>
      </c>
      <c r="D7" s="96"/>
      <c r="E7" s="95"/>
      <c r="G7" s="94"/>
      <c r="N7" s="98"/>
      <c r="O7" s="93" t="s">
        <v>254</v>
      </c>
      <c r="P7" s="96"/>
      <c r="Q7" s="92"/>
      <c r="R7" s="91"/>
      <c r="S7" s="90"/>
      <c r="T7" s="89"/>
      <c r="V7" s="88"/>
      <c r="Z7" s="98"/>
      <c r="AA7" s="93" t="s">
        <v>113</v>
      </c>
      <c r="AB7" s="96"/>
    </row>
    <row r="8" spans="2:35" ht="15" thickBot="1" x14ac:dyDescent="0.35">
      <c r="B8" s="87"/>
      <c r="C8" s="86"/>
      <c r="D8" s="85"/>
      <c r="E8" s="84"/>
      <c r="F8" s="83" t="s">
        <v>255</v>
      </c>
      <c r="G8" s="82" t="s">
        <v>252</v>
      </c>
      <c r="H8" s="81"/>
      <c r="N8" s="87"/>
      <c r="O8" s="86"/>
      <c r="P8" s="85"/>
      <c r="Q8" s="92"/>
      <c r="R8" s="92"/>
      <c r="S8" s="90"/>
      <c r="V8" s="90"/>
      <c r="Z8" s="87"/>
      <c r="AA8" s="86"/>
      <c r="AB8" s="85"/>
    </row>
    <row r="9" spans="2:35" ht="15.6" thickTop="1" thickBot="1" x14ac:dyDescent="0.35">
      <c r="G9" s="80"/>
      <c r="H9" s="79"/>
      <c r="L9" s="101"/>
      <c r="M9" s="101"/>
      <c r="N9" s="101"/>
      <c r="O9" s="101"/>
      <c r="P9" s="101"/>
      <c r="Q9" s="104"/>
      <c r="R9" s="104"/>
      <c r="S9" s="78">
        <v>105527.87399999998</v>
      </c>
      <c r="V9" s="90"/>
      <c r="W9" s="77">
        <v>27121.55</v>
      </c>
    </row>
    <row r="10" spans="2:35" ht="15.6" thickTop="1" thickBot="1" x14ac:dyDescent="0.35">
      <c r="G10" s="80"/>
      <c r="H10" s="79"/>
      <c r="K10" s="76"/>
      <c r="V10" s="90"/>
    </row>
    <row r="11" spans="2:35" ht="15" thickBot="1" x14ac:dyDescent="0.35">
      <c r="G11" s="80"/>
      <c r="H11" s="79"/>
      <c r="K11" s="75"/>
      <c r="V11" s="90"/>
      <c r="Y11" s="74"/>
      <c r="Z11" s="73"/>
      <c r="AA11" s="73"/>
      <c r="AB11" s="73"/>
      <c r="AC11" s="73"/>
      <c r="AD11" s="73"/>
      <c r="AE11" s="73"/>
      <c r="AF11" s="73"/>
      <c r="AG11" s="73"/>
      <c r="AH11" s="73"/>
      <c r="AI11" s="72"/>
    </row>
    <row r="12" spans="2:35" ht="15.6" thickTop="1" thickBot="1" x14ac:dyDescent="0.35">
      <c r="B12" s="113"/>
      <c r="C12" s="112"/>
      <c r="D12" s="111"/>
      <c r="E12" s="107"/>
      <c r="F12" s="109" t="s">
        <v>251</v>
      </c>
      <c r="G12" s="71" t="s">
        <v>252</v>
      </c>
      <c r="H12" s="79"/>
      <c r="K12" s="70" t="s">
        <v>252</v>
      </c>
      <c r="L12" s="103" t="s">
        <v>253</v>
      </c>
      <c r="M12" s="69">
        <v>105527.87399999998</v>
      </c>
      <c r="N12" s="113"/>
      <c r="O12" s="112"/>
      <c r="P12" s="111"/>
      <c r="Q12" s="68">
        <v>109718.511</v>
      </c>
      <c r="R12" s="67" t="s">
        <v>256</v>
      </c>
      <c r="S12" s="66" t="s">
        <v>252</v>
      </c>
      <c r="T12" s="65"/>
      <c r="U12" s="77">
        <v>51822.235000000001</v>
      </c>
      <c r="V12" s="90"/>
      <c r="W12" s="100" t="s">
        <v>252</v>
      </c>
      <c r="X12" s="103" t="s">
        <v>253</v>
      </c>
      <c r="Y12" s="64"/>
      <c r="Z12" s="113"/>
      <c r="AA12" s="112"/>
      <c r="AB12" s="111"/>
      <c r="AC12" s="63"/>
      <c r="AD12" s="62" t="s">
        <v>257</v>
      </c>
      <c r="AE12" s="61" t="s">
        <v>252</v>
      </c>
      <c r="AF12" s="113"/>
      <c r="AG12" s="112"/>
      <c r="AH12" s="111"/>
      <c r="AI12" s="60"/>
    </row>
    <row r="13" spans="2:35" ht="29.4" thickTop="1" x14ac:dyDescent="0.3">
      <c r="B13" s="98"/>
      <c r="C13" s="97" t="s">
        <v>95</v>
      </c>
      <c r="D13" s="96"/>
      <c r="G13" s="80"/>
      <c r="H13" s="79"/>
      <c r="N13" s="98"/>
      <c r="O13" s="93" t="s">
        <v>258</v>
      </c>
      <c r="P13" s="96"/>
      <c r="S13" s="59"/>
      <c r="U13" s="59"/>
      <c r="V13" s="90"/>
      <c r="Y13" s="58"/>
      <c r="Z13" s="98"/>
      <c r="AA13" s="93" t="s">
        <v>259</v>
      </c>
      <c r="AB13" s="96"/>
      <c r="AF13" s="98"/>
      <c r="AG13" s="93" t="s">
        <v>260</v>
      </c>
      <c r="AH13" s="96"/>
      <c r="AI13" s="60"/>
    </row>
    <row r="14" spans="2:35" ht="16.5" customHeight="1" thickBot="1" x14ac:dyDescent="0.35">
      <c r="B14" s="87"/>
      <c r="C14" s="86"/>
      <c r="D14" s="85"/>
      <c r="E14" s="81"/>
      <c r="F14" s="83" t="s">
        <v>255</v>
      </c>
      <c r="G14" s="82" t="s">
        <v>252</v>
      </c>
      <c r="H14" s="57"/>
      <c r="I14" s="56"/>
      <c r="J14" s="81"/>
      <c r="K14" s="55" t="s">
        <v>252</v>
      </c>
      <c r="L14" s="83" t="s">
        <v>255</v>
      </c>
      <c r="M14" s="54">
        <v>8049.0010000000002</v>
      </c>
      <c r="N14" s="87"/>
      <c r="O14" s="86"/>
      <c r="P14" s="85"/>
      <c r="S14" s="53"/>
      <c r="U14" s="53"/>
      <c r="V14" s="52"/>
      <c r="W14" s="51" t="s">
        <v>252</v>
      </c>
      <c r="X14" s="67" t="s">
        <v>256</v>
      </c>
      <c r="Y14" s="50"/>
      <c r="AA14" s="49" t="s">
        <v>261</v>
      </c>
      <c r="AB14" s="96"/>
      <c r="AD14" s="48" t="s">
        <v>262</v>
      </c>
      <c r="AF14" s="98"/>
      <c r="AG14" s="93" t="s">
        <v>263</v>
      </c>
      <c r="AH14" s="96"/>
      <c r="AI14" s="60"/>
    </row>
    <row r="15" spans="2:35" ht="15.6" thickTop="1" thickBot="1" x14ac:dyDescent="0.35">
      <c r="G15" s="80"/>
      <c r="H15" s="47"/>
      <c r="K15" s="46"/>
      <c r="L15" s="46"/>
      <c r="M15" s="65"/>
      <c r="N15" s="65"/>
      <c r="O15" s="65"/>
      <c r="P15" s="65"/>
      <c r="Q15" s="65"/>
      <c r="R15" s="65"/>
      <c r="S15" s="45"/>
      <c r="U15" s="53"/>
      <c r="V15" s="90"/>
      <c r="Y15" s="58"/>
      <c r="Z15" s="98"/>
      <c r="AB15" s="96"/>
      <c r="AD15" s="48" t="s">
        <v>264</v>
      </c>
      <c r="AF15" s="98"/>
      <c r="AG15" s="93" t="s">
        <v>265</v>
      </c>
      <c r="AH15" s="96"/>
      <c r="AI15" s="60"/>
    </row>
    <row r="16" spans="2:35" ht="15.6" thickTop="1" thickBot="1" x14ac:dyDescent="0.35">
      <c r="G16" s="80"/>
      <c r="H16" s="79"/>
      <c r="I16" s="44"/>
      <c r="J16" s="53"/>
      <c r="S16" s="43"/>
      <c r="U16" s="42"/>
      <c r="V16" s="41"/>
      <c r="W16" s="40" t="s">
        <v>252</v>
      </c>
      <c r="X16" s="39" t="s">
        <v>266</v>
      </c>
      <c r="Y16" s="38"/>
      <c r="Z16" s="87"/>
      <c r="AA16" s="86"/>
      <c r="AB16" s="85"/>
      <c r="AD16" s="48" t="s">
        <v>267</v>
      </c>
      <c r="AF16" s="87"/>
      <c r="AG16" s="86"/>
      <c r="AH16" s="85"/>
      <c r="AI16" s="60"/>
    </row>
    <row r="17" spans="2:38" ht="15.6" thickTop="1" thickBot="1" x14ac:dyDescent="0.35">
      <c r="G17" s="80"/>
      <c r="H17" s="79"/>
      <c r="I17" s="44"/>
      <c r="J17" s="53"/>
      <c r="T17" s="37"/>
      <c r="U17" s="53"/>
      <c r="V17" s="90"/>
      <c r="Y17" s="36"/>
      <c r="Z17" s="35"/>
      <c r="AA17" s="35"/>
      <c r="AB17" s="35"/>
      <c r="AC17" s="35"/>
      <c r="AD17" s="35"/>
      <c r="AE17" s="35"/>
      <c r="AF17" s="35"/>
      <c r="AG17" s="35"/>
      <c r="AH17" s="35"/>
      <c r="AI17" s="34"/>
    </row>
    <row r="18" spans="2:38" ht="15.6" thickTop="1" thickBot="1" x14ac:dyDescent="0.35">
      <c r="B18" s="113"/>
      <c r="C18" s="112"/>
      <c r="D18" s="111"/>
      <c r="E18" s="107"/>
      <c r="F18" s="109" t="s">
        <v>251</v>
      </c>
      <c r="G18" s="71" t="s">
        <v>252</v>
      </c>
      <c r="H18" s="79"/>
      <c r="I18" s="44"/>
      <c r="J18" s="53"/>
      <c r="K18" s="51" t="s">
        <v>252</v>
      </c>
      <c r="L18" s="67" t="s">
        <v>256</v>
      </c>
      <c r="M18" s="33">
        <v>57896.275999999998</v>
      </c>
      <c r="N18" s="113"/>
      <c r="O18" s="112"/>
      <c r="P18" s="111"/>
      <c r="Q18" s="32">
        <v>56087.057999999997</v>
      </c>
      <c r="R18" s="39" t="s">
        <v>266</v>
      </c>
      <c r="S18" s="31" t="s">
        <v>252</v>
      </c>
      <c r="T18" s="30">
        <v>56087.057999999997</v>
      </c>
      <c r="U18" s="53"/>
      <c r="V18" s="90"/>
    </row>
    <row r="19" spans="2:38" ht="15.6" thickTop="1" thickBot="1" x14ac:dyDescent="0.35">
      <c r="B19" s="98"/>
      <c r="C19" s="97" t="s">
        <v>268</v>
      </c>
      <c r="D19" s="96"/>
      <c r="G19" s="94"/>
      <c r="H19" s="79"/>
      <c r="N19" s="98"/>
      <c r="O19" s="93" t="s">
        <v>269</v>
      </c>
      <c r="P19" s="96"/>
      <c r="T19" s="29"/>
      <c r="U19" s="53"/>
      <c r="V19" s="90"/>
    </row>
    <row r="20" spans="2:38" ht="15" thickBot="1" x14ac:dyDescent="0.35">
      <c r="B20" s="87"/>
      <c r="C20" s="86"/>
      <c r="D20" s="85"/>
      <c r="E20" s="81"/>
      <c r="F20" s="83" t="s">
        <v>255</v>
      </c>
      <c r="G20" s="82" t="s">
        <v>252</v>
      </c>
      <c r="H20" s="57"/>
      <c r="K20" s="28" t="s">
        <v>252</v>
      </c>
      <c r="L20" s="27" t="s">
        <v>270</v>
      </c>
      <c r="M20" s="26">
        <v>1197.2349999999999</v>
      </c>
      <c r="N20" s="87"/>
      <c r="O20" s="86"/>
      <c r="P20" s="85"/>
      <c r="T20" s="37"/>
      <c r="U20" s="53"/>
      <c r="V20" s="90"/>
      <c r="Y20" s="74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2"/>
    </row>
    <row r="21" spans="2:38" ht="15.6" thickTop="1" thickBot="1" x14ac:dyDescent="0.35">
      <c r="G21" s="80"/>
      <c r="H21" s="79"/>
      <c r="J21" s="25"/>
      <c r="T21" s="37"/>
      <c r="U21" s="53"/>
      <c r="V21" s="90"/>
      <c r="W21" s="100" t="s">
        <v>252</v>
      </c>
      <c r="X21" s="103" t="s">
        <v>253</v>
      </c>
      <c r="Y21" s="64"/>
      <c r="Z21" s="113"/>
      <c r="AA21" s="112"/>
      <c r="AB21" s="111"/>
      <c r="AC21" s="63"/>
      <c r="AD21" s="62" t="s">
        <v>257</v>
      </c>
      <c r="AE21" s="24" t="s">
        <v>252</v>
      </c>
      <c r="AF21" s="23" t="s">
        <v>252</v>
      </c>
      <c r="AG21" s="62" t="s">
        <v>257</v>
      </c>
      <c r="AH21" s="22"/>
      <c r="AI21" s="113"/>
      <c r="AJ21" s="112"/>
      <c r="AK21" s="111"/>
      <c r="AL21" s="60"/>
    </row>
    <row r="22" spans="2:38" ht="15" thickTop="1" x14ac:dyDescent="0.3">
      <c r="G22" s="80"/>
      <c r="H22" s="79"/>
      <c r="J22" s="25"/>
      <c r="T22" s="37"/>
      <c r="U22" s="53"/>
      <c r="Y22" s="58"/>
      <c r="Z22" s="98"/>
      <c r="AA22" s="49" t="s">
        <v>259</v>
      </c>
      <c r="AB22" s="96"/>
      <c r="AE22" s="21"/>
      <c r="AI22" s="98"/>
      <c r="AJ22" s="93" t="s">
        <v>260</v>
      </c>
      <c r="AK22" s="96"/>
      <c r="AL22" s="60"/>
    </row>
    <row r="23" spans="2:38" ht="15" thickBot="1" x14ac:dyDescent="0.35">
      <c r="G23" s="80"/>
      <c r="H23" s="79"/>
      <c r="J23" s="25"/>
      <c r="M23" s="275" t="s">
        <v>285</v>
      </c>
      <c r="P23" s="304">
        <v>154125.60999999996</v>
      </c>
      <c r="Q23" s="304"/>
      <c r="R23" s="115" t="s">
        <v>7</v>
      </c>
      <c r="T23" s="37"/>
      <c r="U23" s="53"/>
      <c r="V23" s="65"/>
      <c r="W23" s="51" t="s">
        <v>252</v>
      </c>
      <c r="X23" s="67" t="s">
        <v>256</v>
      </c>
      <c r="Y23" s="20"/>
      <c r="Z23" s="98"/>
      <c r="AA23" s="49" t="s">
        <v>261</v>
      </c>
      <c r="AB23" s="96"/>
      <c r="AE23" s="19"/>
      <c r="AG23" s="48" t="s">
        <v>271</v>
      </c>
      <c r="AI23" s="98"/>
      <c r="AJ23" s="93" t="s">
        <v>263</v>
      </c>
      <c r="AK23" s="96"/>
      <c r="AL23" s="60"/>
    </row>
    <row r="24" spans="2:38" ht="15.6" thickTop="1" thickBot="1" x14ac:dyDescent="0.35">
      <c r="B24" s="113"/>
      <c r="C24" s="112"/>
      <c r="D24" s="111"/>
      <c r="E24" s="105">
        <v>12579.937</v>
      </c>
      <c r="F24" s="109" t="s">
        <v>251</v>
      </c>
      <c r="G24" s="71" t="s">
        <v>252</v>
      </c>
      <c r="H24" s="79"/>
      <c r="J24" s="25"/>
      <c r="M24" s="275" t="s">
        <v>286</v>
      </c>
      <c r="P24" s="304">
        <v>142240.554</v>
      </c>
      <c r="Q24" s="304"/>
      <c r="R24" s="115" t="s">
        <v>7</v>
      </c>
      <c r="T24" s="37"/>
      <c r="Y24" s="58"/>
      <c r="Z24" s="98"/>
      <c r="AB24" s="96"/>
      <c r="AE24" s="19"/>
      <c r="AG24" s="48" t="s">
        <v>264</v>
      </c>
      <c r="AI24" s="98"/>
      <c r="AJ24" s="93" t="s">
        <v>265</v>
      </c>
      <c r="AK24" s="96"/>
      <c r="AL24" s="60"/>
    </row>
    <row r="25" spans="2:38" ht="15.6" thickTop="1" thickBot="1" x14ac:dyDescent="0.35">
      <c r="B25" s="98"/>
      <c r="D25" s="96"/>
      <c r="F25" s="49"/>
      <c r="G25" s="80"/>
      <c r="H25" s="79"/>
      <c r="J25" s="25"/>
      <c r="M25" s="275" t="s">
        <v>287</v>
      </c>
      <c r="P25" s="304">
        <v>1075.1959999999999</v>
      </c>
      <c r="Q25" s="304"/>
      <c r="R25" s="115" t="s">
        <v>7</v>
      </c>
      <c r="T25" s="37"/>
      <c r="U25" s="18"/>
      <c r="V25" s="18"/>
      <c r="W25" s="40" t="s">
        <v>252</v>
      </c>
      <c r="X25" s="39" t="s">
        <v>266</v>
      </c>
      <c r="Y25" s="17"/>
      <c r="Z25" s="87"/>
      <c r="AA25" s="86"/>
      <c r="AB25" s="85"/>
      <c r="AE25" s="19"/>
      <c r="AG25" s="48" t="s">
        <v>267</v>
      </c>
      <c r="AI25" s="87"/>
      <c r="AJ25" s="86"/>
      <c r="AK25" s="85"/>
      <c r="AL25" s="60"/>
    </row>
    <row r="26" spans="2:38" ht="15.6" thickTop="1" thickBot="1" x14ac:dyDescent="0.35">
      <c r="B26" s="98"/>
      <c r="C26" s="49" t="s">
        <v>272</v>
      </c>
      <c r="D26" s="96"/>
      <c r="E26" s="16">
        <v>5779.1689999999999</v>
      </c>
      <c r="F26" s="83" t="s">
        <v>255</v>
      </c>
      <c r="G26" s="82" t="s">
        <v>252</v>
      </c>
      <c r="H26" s="57"/>
      <c r="J26" s="25"/>
      <c r="M26" s="275" t="s">
        <v>288</v>
      </c>
      <c r="P26" s="304">
        <v>1620.396</v>
      </c>
      <c r="Q26" s="304"/>
      <c r="R26" s="115" t="s">
        <v>7</v>
      </c>
      <c r="W26" s="15"/>
      <c r="Y26" s="58"/>
      <c r="AE26" s="19"/>
      <c r="AL26" s="60"/>
    </row>
    <row r="27" spans="2:38" ht="15.6" thickTop="1" thickBot="1" x14ac:dyDescent="0.35">
      <c r="B27" s="98"/>
      <c r="D27" s="96"/>
      <c r="G27" s="80"/>
      <c r="J27" s="25"/>
      <c r="K27" s="14"/>
      <c r="M27" s="275" t="s">
        <v>289</v>
      </c>
      <c r="P27" s="305">
        <v>5.9623212521267233E-2</v>
      </c>
      <c r="Q27" s="305"/>
      <c r="Y27" s="58"/>
      <c r="AE27" s="19"/>
      <c r="AL27" s="60"/>
    </row>
    <row r="28" spans="2:38" ht="15.6" thickTop="1" thickBot="1" x14ac:dyDescent="0.35">
      <c r="B28" s="87"/>
      <c r="C28" s="86"/>
      <c r="D28" s="85"/>
      <c r="E28" s="13"/>
      <c r="F28" s="27" t="s">
        <v>270</v>
      </c>
      <c r="G28" s="12" t="s">
        <v>252</v>
      </c>
      <c r="H28" s="11"/>
      <c r="I28" s="11"/>
      <c r="J28" s="10"/>
      <c r="K28" s="9"/>
      <c r="Y28" s="58"/>
      <c r="Z28" s="113"/>
      <c r="AA28" s="112"/>
      <c r="AB28" s="111"/>
      <c r="AC28" s="63"/>
      <c r="AD28" s="62" t="s">
        <v>257</v>
      </c>
      <c r="AE28" s="8" t="s">
        <v>252</v>
      </c>
      <c r="AL28" s="60"/>
    </row>
    <row r="29" spans="2:38" ht="15" thickTop="1" x14ac:dyDescent="0.3">
      <c r="G29" s="80"/>
      <c r="J29" s="7"/>
      <c r="Y29" s="58"/>
      <c r="Z29" s="98"/>
      <c r="AA29" s="49" t="s">
        <v>264</v>
      </c>
      <c r="AB29" s="96"/>
      <c r="AL29" s="60"/>
    </row>
    <row r="30" spans="2:38" x14ac:dyDescent="0.3">
      <c r="G30" s="80"/>
      <c r="J30" s="25"/>
      <c r="Y30" s="58"/>
      <c r="Z30" s="98"/>
      <c r="AA30" s="49" t="s">
        <v>267</v>
      </c>
      <c r="AB30" s="96"/>
      <c r="AL30" s="60"/>
    </row>
    <row r="31" spans="2:38" ht="15" thickBot="1" x14ac:dyDescent="0.35">
      <c r="G31" s="80"/>
      <c r="J31" s="25"/>
      <c r="Y31" s="6"/>
      <c r="Z31" s="87"/>
      <c r="AA31" s="86"/>
      <c r="AB31" s="85"/>
      <c r="AC31" s="5"/>
      <c r="AD31" s="27" t="s">
        <v>270</v>
      </c>
      <c r="AE31" s="4" t="s">
        <v>252</v>
      </c>
      <c r="AL31" s="60"/>
    </row>
    <row r="32" spans="2:38" ht="15.6" thickTop="1" thickBot="1" x14ac:dyDescent="0.35">
      <c r="B32" s="113"/>
      <c r="C32" s="112"/>
      <c r="D32" s="111"/>
      <c r="E32" s="105">
        <v>20432.701999999997</v>
      </c>
      <c r="F32" s="109" t="s">
        <v>251</v>
      </c>
      <c r="G32" s="71" t="s">
        <v>252</v>
      </c>
      <c r="J32" s="25"/>
      <c r="Y32" s="36"/>
      <c r="Z32" s="35"/>
      <c r="AA32" s="35"/>
      <c r="AB32" s="35"/>
      <c r="AC32" s="35"/>
      <c r="AD32" s="35"/>
      <c r="AE32" s="3"/>
      <c r="AF32" s="35"/>
      <c r="AG32" s="35"/>
      <c r="AH32" s="35"/>
      <c r="AI32" s="35"/>
      <c r="AJ32" s="35"/>
      <c r="AK32" s="35"/>
      <c r="AL32" s="34"/>
    </row>
    <row r="33" spans="2:31" ht="15" thickTop="1" x14ac:dyDescent="0.3">
      <c r="B33" s="98"/>
      <c r="C33" s="49" t="s">
        <v>110</v>
      </c>
      <c r="D33" s="96"/>
      <c r="J33" s="25"/>
      <c r="AE33" s="25"/>
    </row>
    <row r="34" spans="2:31" ht="15" thickBot="1" x14ac:dyDescent="0.35">
      <c r="B34" s="87"/>
      <c r="C34" s="86"/>
      <c r="D34" s="85"/>
      <c r="E34" s="92"/>
      <c r="F34" s="92"/>
      <c r="J34" s="2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0"/>
    </row>
    <row r="35" spans="2:31" ht="15" thickTop="1" x14ac:dyDescent="0.3"/>
  </sheetData>
  <mergeCells count="5">
    <mergeCell ref="P23:Q23"/>
    <mergeCell ref="P24:Q24"/>
    <mergeCell ref="P25:Q25"/>
    <mergeCell ref="P26:Q26"/>
    <mergeCell ref="P27:Q27"/>
  </mergeCells>
  <pageMargins left="0.25" right="0.25" top="0.75" bottom="0.75" header="0.3" footer="0.3"/>
  <pageSetup paperSize="9" scale="52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BALANCE</vt:lpstr>
      <vt:lpstr>TOPOLOGY</vt:lpstr>
      <vt:lpstr>SEC_Comm</vt:lpstr>
      <vt:lpstr>SEC_Processes</vt:lpstr>
      <vt:lpstr>PP</vt:lpstr>
      <vt:lpstr>RES</vt:lpstr>
      <vt:lpstr>CHP</vt:lpstr>
      <vt:lpstr>HPL</vt:lpstr>
      <vt:lpstr>T&amp;D</vt:lpstr>
      <vt:lpstr>EMI</vt:lpstr>
      <vt:lpstr>SCHEM_ELC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2000-12-13T15:53:11Z</dcterms:created>
  <dcterms:modified xsi:type="dcterms:W3CDTF">2025-12-02T07:48:44Z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