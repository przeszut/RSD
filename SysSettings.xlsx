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_MACIEK\Uczelnia\Przedmioty\Integrated Energy Resource Planning\ELAND_02\"/>
    </mc:Choice>
  </mc:AlternateContent>
  <xr:revisionPtr revIDLastSave="0" documentId="13_ncr:1_{82B58E83-961F-43DE-BC5E-486816560332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Region-Time Slices" sheetId="2" r:id="rId1"/>
    <sheet name="TimePeriods" sheetId="3" r:id="rId2"/>
    <sheet name="Interpol_Extrapol_Defaults" sheetId="4" r:id="rId3"/>
    <sheet name="Constants" sheetId="5" r:id="rId4"/>
    <sheet name="Defaults" sheetId="6" r:id="rId5"/>
    <sheet name="Reporting" sheetId="7" r:id="rId6"/>
  </sheets>
  <externalReferences>
    <externalReference r:id="rId7"/>
  </externalReferences>
  <definedNames>
    <definedName name="FID_1">[1]AGR_Fuels!$A$2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D10" i="5"/>
  <c r="D11" i="5"/>
  <c r="D12" i="5"/>
  <c r="D13" i="5"/>
  <c r="D14" i="5"/>
  <c r="D15" i="5"/>
  <c r="D8" i="5"/>
  <c r="D17" i="5" s="1"/>
  <c r="D31" i="6"/>
</calcChain>
</file>

<file path=xl/sharedStrings.xml><?xml version="1.0" encoding="utf-8"?>
<sst xmlns="http://schemas.openxmlformats.org/spreadsheetml/2006/main" count="156" uniqueCount="104">
  <si>
    <t>Regions</t>
  </si>
  <si>
    <t>TimeSlices</t>
  </si>
  <si>
    <t>~BookRegions_Map</t>
  </si>
  <si>
    <t>~TimeSlices</t>
  </si>
  <si>
    <t>BookName</t>
  </si>
  <si>
    <t>Region</t>
  </si>
  <si>
    <t>Season</t>
  </si>
  <si>
    <t>Weekly</t>
  </si>
  <si>
    <t>DayNite</t>
  </si>
  <si>
    <t>Start Year</t>
  </si>
  <si>
    <t>~StartYear</t>
  </si>
  <si>
    <t>Period definition</t>
  </si>
  <si>
    <t>Active period definition</t>
  </si>
  <si>
    <t>~TimePeriods</t>
  </si>
  <si>
    <t>~ActivePDef</t>
  </si>
  <si>
    <t>Pdef-1</t>
  </si>
  <si>
    <t>Global interpolation settings</t>
  </si>
  <si>
    <t>~TFM_MIG</t>
  </si>
  <si>
    <t>LimType</t>
  </si>
  <si>
    <t>Attribute</t>
  </si>
  <si>
    <t>Year2</t>
  </si>
  <si>
    <t>AllRegions</t>
  </si>
  <si>
    <t>Pset_PN</t>
  </si>
  <si>
    <t>Dummy Import Prices</t>
  </si>
  <si>
    <t>~TFM_UPD</t>
  </si>
  <si>
    <t>Pset_Set</t>
  </si>
  <si>
    <t>ACTCOST</t>
  </si>
  <si>
    <t>IRE</t>
  </si>
  <si>
    <t>IMP*Z</t>
  </si>
  <si>
    <t>IMPDEMZ</t>
  </si>
  <si>
    <t>~TFM_INS</t>
  </si>
  <si>
    <t>TimeSlice</t>
  </si>
  <si>
    <t>Other_Indexes</t>
  </si>
  <si>
    <t>G_DYEAR</t>
  </si>
  <si>
    <t>~Currencies</t>
  </si>
  <si>
    <t>~DefUnits</t>
  </si>
  <si>
    <t>Currency</t>
  </si>
  <si>
    <t>Option</t>
  </si>
  <si>
    <t>PRI</t>
  </si>
  <si>
    <t>ELC</t>
  </si>
  <si>
    <t>IND</t>
  </si>
  <si>
    <t>RCA</t>
  </si>
  <si>
    <t>TRA</t>
  </si>
  <si>
    <t>MPLN</t>
  </si>
  <si>
    <t>Process_ActUnit</t>
  </si>
  <si>
    <t>PJ</t>
  </si>
  <si>
    <t>kPk</t>
  </si>
  <si>
    <t>MEuro</t>
  </si>
  <si>
    <t>Process_CapUnit</t>
  </si>
  <si>
    <t>PJa</t>
  </si>
  <si>
    <t>GW</t>
  </si>
  <si>
    <t>000_Units</t>
  </si>
  <si>
    <t>Commodity_Unit</t>
  </si>
  <si>
    <t>~UnitConversion</t>
  </si>
  <si>
    <t>from_unit</t>
  </si>
  <si>
    <t>to_unit</t>
  </si>
  <si>
    <t>multiplier</t>
  </si>
  <si>
    <t>QBtu</t>
  </si>
  <si>
    <t>TWh</t>
  </si>
  <si>
    <t>Mt</t>
  </si>
  <si>
    <t>Kt</t>
  </si>
  <si>
    <t>B Euro</t>
  </si>
  <si>
    <t>M Euro</t>
  </si>
  <si>
    <t>TBtu</t>
  </si>
  <si>
    <t>ktoe</t>
  </si>
  <si>
    <t>mtoe</t>
  </si>
  <si>
    <t>Gwh</t>
  </si>
  <si>
    <t>Gt</t>
  </si>
  <si>
    <t>bEur</t>
  </si>
  <si>
    <t>mEur</t>
  </si>
  <si>
    <t>Eur per bbl</t>
  </si>
  <si>
    <t>Eur per GJ</t>
  </si>
  <si>
    <t>Eur per ton</t>
  </si>
  <si>
    <t>mEur per kt</t>
  </si>
  <si>
    <t>EJ</t>
  </si>
  <si>
    <t>bcm</t>
  </si>
  <si>
    <t>mbpd</t>
  </si>
  <si>
    <t>Cents per Kwh</t>
  </si>
  <si>
    <t>RPT_OPT</t>
  </si>
  <si>
    <t>FLO~3</t>
  </si>
  <si>
    <t>G_YRFR</t>
  </si>
  <si>
    <t>MEUR</t>
  </si>
  <si>
    <t>ELAND</t>
  </si>
  <si>
    <t>DISCOUNT</t>
  </si>
  <si>
    <t>Constants</t>
  </si>
  <si>
    <t>Currencies</t>
  </si>
  <si>
    <t>Default Units</t>
  </si>
  <si>
    <t>Unit Conversion</t>
  </si>
  <si>
    <t>Activates Val_FLO reporting</t>
  </si>
  <si>
    <t>ELD</t>
  </si>
  <si>
    <t>S1</t>
  </si>
  <si>
    <t>S2</t>
  </si>
  <si>
    <t>W1</t>
  </si>
  <si>
    <t>W2</t>
  </si>
  <si>
    <t>D1</t>
  </si>
  <si>
    <t>D2</t>
  </si>
  <si>
    <t>S1W1D1</t>
  </si>
  <si>
    <t>S1W1D2</t>
  </si>
  <si>
    <t>S1W2D1</t>
  </si>
  <si>
    <t>S1W2D2</t>
  </si>
  <si>
    <t>S2W1D1</t>
  </si>
  <si>
    <t>S2W1D2</t>
  </si>
  <si>
    <t>S2W2D1</t>
  </si>
  <si>
    <t>S2W2D2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</si>
</sst>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%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38"/>
    </font>
    <font>
      <sz val="12"/>
      <color indexed="53"/>
      <name val="Arial"/>
      <family val="2"/>
    </font>
    <font>
      <sz val="14"/>
      <color indexed="9"/>
      <name val="Arial"/>
      <family val="2"/>
    </font>
    <font>
      <b/>
      <sz val="10"/>
      <color indexed="12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Calibri"/>
      <family val="2"/>
      <scheme val="minor"/>
    </font>
    <font>
      <sz val="12"/>
      <color indexed="9"/>
      <name val="Arial"/>
      <family val="2"/>
    </font>
    <font>
      <b/>
      <sz val="10"/>
      <color rgb="FF0000FF"/>
      <name val="Arial"/>
      <family val="2"/>
      <charset val="238"/>
    </font>
    <font>
      <b/>
      <sz val="10"/>
      <name val="Arial"/>
      <family val="2"/>
      <charset val="238"/>
    </font>
    <font>
      <sz val="10"/>
      <name val="Arial"/>
      <family val="2"/>
      <charset val="1"/>
    </font>
    <font>
      <b/>
      <sz val="10"/>
      <color rgb="FF0000FF"/>
      <name val="Arial"/>
      <family val="2"/>
      <charset val="1"/>
    </font>
    <font>
      <b/>
      <sz val="12"/>
      <color rgb="FF0000FF"/>
      <name val="Arial"/>
      <family val="2"/>
      <charset val="238"/>
    </font>
    <font>
      <b/>
      <sz val="10"/>
      <color rgb="FF010000"/>
      <name val="Arial"/>
      <family val="2"/>
      <charset val="238"/>
    </font>
    <font>
      <sz val="10"/>
      <color rgb="FF010000"/>
      <name val="Arial"/>
      <family val="2"/>
      <charset val="238"/>
    </font>
  </fonts>
  <fills count="13">
    <fill>
      <patternFill patternType="none"/>
    </fill>
    <fill>
      <patternFill patternType="gray125"/>
    </fill>
    <fill>
      <patternFill patternType="solid">
        <fgColor indexed="1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rgb="FFF2F2F2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C1"/>
        <bgColor rgb="FFFFFF99"/>
      </patternFill>
    </fill>
    <fill>
      <patternFill patternType="solid">
        <fgColor rgb="FFFFFFC1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9">
    <xf numFmtId="0" fontId="0" fillId="0" borderId="0"/>
    <xf numFmtId="0" fontId="2" fillId="0" borderId="0"/>
    <xf numFmtId="0" fontId="7" fillId="0" borderId="0"/>
    <xf numFmtId="0" fontId="12" fillId="0" borderId="0"/>
    <xf numFmtId="0" fontId="2" fillId="0" borderId="0"/>
    <xf numFmtId="0" fontId="1" fillId="0" borderId="0"/>
    <xf numFmtId="0" fontId="2" fillId="0" borderId="0"/>
    <xf numFmtId="0" fontId="2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0" fontId="2" fillId="0" borderId="0" xfId="1"/>
    <xf numFmtId="0" fontId="3" fillId="0" borderId="0" xfId="1" applyFont="1"/>
    <xf numFmtId="0" fontId="4" fillId="2" borderId="0" xfId="1" applyFont="1" applyFill="1" applyAlignment="1">
      <alignment horizontal="left"/>
    </xf>
    <xf numFmtId="0" fontId="5" fillId="0" borderId="0" xfId="1" applyFont="1"/>
    <xf numFmtId="0" fontId="6" fillId="0" borderId="0" xfId="1" applyFont="1"/>
    <xf numFmtId="0" fontId="7" fillId="3" borderId="1" xfId="1" applyFont="1" applyFill="1" applyBorder="1"/>
    <xf numFmtId="0" fontId="7" fillId="3" borderId="2" xfId="1" applyFont="1" applyFill="1" applyBorder="1"/>
    <xf numFmtId="0" fontId="2" fillId="0" borderId="3" xfId="1" applyBorder="1"/>
    <xf numFmtId="0" fontId="9" fillId="2" borderId="0" xfId="1" applyFont="1" applyFill="1" applyAlignment="1">
      <alignment horizontal="left"/>
    </xf>
    <xf numFmtId="0" fontId="10" fillId="0" borderId="0" xfId="1" applyFont="1"/>
    <xf numFmtId="0" fontId="11" fillId="6" borderId="4" xfId="1" applyFont="1" applyFill="1" applyBorder="1"/>
    <xf numFmtId="0" fontId="2" fillId="7" borderId="0" xfId="1" applyFill="1"/>
    <xf numFmtId="0" fontId="2" fillId="8" borderId="0" xfId="1" applyFill="1"/>
    <xf numFmtId="0" fontId="2" fillId="0" borderId="0" xfId="1" applyAlignment="1">
      <alignment horizontal="center"/>
    </xf>
    <xf numFmtId="0" fontId="2" fillId="8" borderId="3" xfId="1" applyFill="1" applyBorder="1"/>
    <xf numFmtId="0" fontId="7" fillId="0" borderId="0" xfId="2"/>
    <xf numFmtId="0" fontId="2" fillId="10" borderId="3" xfId="1" applyFill="1" applyBorder="1"/>
    <xf numFmtId="0" fontId="13" fillId="0" borderId="0" xfId="3" applyFont="1"/>
    <xf numFmtId="0" fontId="12" fillId="0" borderId="0" xfId="3"/>
    <xf numFmtId="0" fontId="2" fillId="0" borderId="0" xfId="6"/>
    <xf numFmtId="0" fontId="11" fillId="11" borderId="1" xfId="7" applyFont="1" applyFill="1" applyBorder="1" applyAlignment="1">
      <alignment horizontal="center" vertical="center"/>
    </xf>
    <xf numFmtId="0" fontId="2" fillId="9" borderId="3" xfId="7" applyFill="1" applyBorder="1"/>
    <xf numFmtId="0" fontId="16" fillId="5" borderId="0" xfId="2" applyFont="1" applyFill="1"/>
    <xf numFmtId="0" fontId="14" fillId="4" borderId="0" xfId="2" applyFont="1" applyFill="1"/>
    <xf numFmtId="0" fontId="15" fillId="12" borderId="5" xfId="1" applyFont="1" applyFill="1" applyBorder="1" applyAlignment="1">
      <alignment horizontal="center" vertical="center" wrapText="1"/>
    </xf>
    <xf numFmtId="0" fontId="16" fillId="4" borderId="6" xfId="2" applyFont="1" applyFill="1" applyBorder="1"/>
    <xf numFmtId="0" fontId="7" fillId="8" borderId="3" xfId="1" applyFont="1" applyFill="1" applyBorder="1"/>
    <xf numFmtId="0" fontId="2" fillId="4" borderId="7" xfId="1" applyFill="1" applyBorder="1"/>
    <xf numFmtId="0" fontId="16" fillId="7" borderId="3" xfId="0" applyFont="1" applyFill="1" applyBorder="1"/>
    <xf numFmtId="165" fontId="16" fillId="7" borderId="3" xfId="8" applyNumberFormat="1" applyFont="1" applyFill="1" applyBorder="1"/>
    <xf numFmtId="165" fontId="0" fillId="0" borderId="0" xfId="0" applyNumberFormat="1"/>
  </cellXfs>
  <cellStyles count="9">
    <cellStyle name="Normal" xfId="0" builtinId="0"/>
    <cellStyle name="Normal 10" xfId="2" xr:uid="{214A5D26-AA07-4C86-8608-AB30794DDA3E}"/>
    <cellStyle name="Normal 10 2" xfId="3" xr:uid="{FD67AE21-7659-4BEF-BA07-8FCC28DE241B}"/>
    <cellStyle name="Normal 2" xfId="1" xr:uid="{2CD431EE-317D-4086-8B1B-2D61C7F8EAC0}"/>
    <cellStyle name="Normalny 11" xfId="6" xr:uid="{C733936B-95CE-4769-B724-B3D40A8D55EF}"/>
    <cellStyle name="Normalny 12" xfId="5" xr:uid="{430BBE80-D902-4303-BFEF-9109D46728E8}"/>
    <cellStyle name="Normalny 2" xfId="4" xr:uid="{0868C53A-4E1B-4779-887A-A8B6723C23DB}"/>
    <cellStyle name="Normalny 2 3" xfId="7" xr:uid="{C8794B19-1223-4648-965D-15CA7601B8F7}"/>
    <cellStyle name="Percent" xfId="8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</xdr:colOff>
      <xdr:row>4</xdr:row>
      <xdr:rowOff>140191</xdr:rowOff>
    </xdr:from>
    <xdr:to>
      <xdr:col>16</xdr:col>
      <xdr:colOff>495301</xdr:colOff>
      <xdr:row>25</xdr:row>
      <xdr:rowOff>95991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D1AC2CCE-179A-434A-94A1-FFC1998F23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14851" y="851391"/>
          <a:ext cx="6159500" cy="3711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23269-073D-4C5A-8892-F6A5C4E245F4}">
  <dimension ref="B2:K61"/>
  <sheetViews>
    <sheetView zoomScale="145" zoomScaleNormal="145" workbookViewId="0">
      <selection activeCell="I7" sqref="I7"/>
    </sheetView>
  </sheetViews>
  <sheetFormatPr defaultColWidth="8.7109375" defaultRowHeight="15" x14ac:dyDescent="0.25"/>
  <cols>
    <col min="1" max="1" width="2.7109375" style="1" customWidth="1"/>
    <col min="2" max="2" width="19.28515625" style="1" bestFit="1" customWidth="1"/>
    <col min="3" max="3" width="8.7109375" style="1"/>
    <col min="4" max="4" width="2.28515625" style="1" customWidth="1"/>
    <col min="5" max="5" width="12.28515625" bestFit="1" customWidth="1"/>
    <col min="6" max="6" width="13.5703125" bestFit="1" customWidth="1"/>
    <col min="7" max="8" width="9.140625"/>
    <col min="9" max="16384" width="8.7109375" style="1"/>
  </cols>
  <sheetData>
    <row r="2" spans="2:11" ht="18" x14ac:dyDescent="0.25">
      <c r="B2" s="3" t="s">
        <v>0</v>
      </c>
      <c r="E2" s="3" t="s">
        <v>1</v>
      </c>
      <c r="F2" s="3"/>
      <c r="G2" s="1"/>
      <c r="H2" s="1"/>
    </row>
    <row r="3" spans="2:11" ht="12.75" x14ac:dyDescent="0.2">
      <c r="B3" s="4"/>
      <c r="E3" s="4"/>
      <c r="F3" s="5"/>
      <c r="G3" s="5"/>
      <c r="H3" s="1"/>
    </row>
    <row r="4" spans="2:11" ht="15.75" customHeight="1" x14ac:dyDescent="0.2">
      <c r="B4" s="4" t="s">
        <v>2</v>
      </c>
      <c r="E4" s="4" t="s">
        <v>3</v>
      </c>
      <c r="F4" s="5"/>
      <c r="G4" s="5"/>
      <c r="H4" s="1"/>
    </row>
    <row r="5" spans="2:11" ht="15.75" customHeight="1" thickBot="1" x14ac:dyDescent="0.25">
      <c r="B5" s="6" t="s">
        <v>4</v>
      </c>
      <c r="C5" s="6" t="s">
        <v>5</v>
      </c>
      <c r="E5" s="7" t="s">
        <v>6</v>
      </c>
      <c r="F5" s="7" t="s">
        <v>7</v>
      </c>
      <c r="G5" s="7" t="s">
        <v>8</v>
      </c>
      <c r="H5" s="1"/>
    </row>
    <row r="6" spans="2:11" ht="15.75" customHeight="1" thickBot="1" x14ac:dyDescent="0.25">
      <c r="B6" s="28" t="s">
        <v>82</v>
      </c>
      <c r="C6" s="28" t="s">
        <v>89</v>
      </c>
      <c r="E6" s="28" t="s">
        <v>90</v>
      </c>
      <c r="F6" s="28" t="s">
        <v>92</v>
      </c>
      <c r="G6" s="28" t="s">
        <v>94</v>
      </c>
      <c r="H6" s="1"/>
      <c r="I6" s="1">
        <v>23</v>
      </c>
      <c r="K6" s="1" t="s">
        <v>96</v>
      </c>
    </row>
    <row r="7" spans="2:11" customFormat="1" ht="15.75" customHeight="1" x14ac:dyDescent="0.25">
      <c r="E7" t="s">
        <v>91</v>
      </c>
      <c r="F7" t="s">
        <v>93</v>
      </c>
      <c r="G7" t="s">
        <v>95</v>
      </c>
      <c r="I7" s="1">
        <v>1</v>
      </c>
      <c r="K7" t="s">
        <v>97</v>
      </c>
    </row>
    <row r="8" spans="2:11" customFormat="1" ht="15.75" customHeight="1" x14ac:dyDescent="0.25">
      <c r="I8" s="1"/>
      <c r="K8" t="s">
        <v>98</v>
      </c>
    </row>
    <row r="9" spans="2:11" customFormat="1" ht="15.75" customHeight="1" x14ac:dyDescent="0.25">
      <c r="I9" s="1"/>
      <c r="K9" t="s">
        <v>99</v>
      </c>
    </row>
    <row r="10" spans="2:11" customFormat="1" ht="15.75" customHeight="1" x14ac:dyDescent="0.25">
      <c r="I10" s="1"/>
      <c r="K10" t="s">
        <v>100</v>
      </c>
    </row>
    <row r="11" spans="2:11" customFormat="1" ht="16.149999999999999" customHeight="1" x14ac:dyDescent="0.25">
      <c r="I11" s="1"/>
      <c r="K11" t="s">
        <v>101</v>
      </c>
    </row>
    <row r="12" spans="2:11" customFormat="1" ht="15.75" customHeight="1" x14ac:dyDescent="0.25">
      <c r="I12" s="1"/>
      <c r="K12" t="s">
        <v>102</v>
      </c>
    </row>
    <row r="13" spans="2:11" customFormat="1" ht="15.75" customHeight="1" x14ac:dyDescent="0.25">
      <c r="I13" s="1"/>
      <c r="K13" t="s">
        <v>103</v>
      </c>
    </row>
    <row r="14" spans="2:11" customFormat="1" ht="15.75" customHeight="1" x14ac:dyDescent="0.25"/>
    <row r="15" spans="2:11" customFormat="1" ht="15.75" customHeight="1" x14ac:dyDescent="0.25"/>
    <row r="16" spans="2:11" customFormat="1" ht="15.75" customHeight="1" x14ac:dyDescent="0.25"/>
    <row r="17" customFormat="1" ht="15.75" customHeight="1" x14ac:dyDescent="0.25"/>
    <row r="18" customFormat="1" ht="15.75" customHeight="1" x14ac:dyDescent="0.25"/>
    <row r="19" customFormat="1" ht="15.75" customHeight="1" x14ac:dyDescent="0.25"/>
    <row r="20" customFormat="1" ht="15.75" customHeight="1" x14ac:dyDescent="0.25"/>
    <row r="21" customFormat="1" ht="15.75" customHeight="1" x14ac:dyDescent="0.25"/>
    <row r="22" customFormat="1" ht="15.75" customHeight="1" x14ac:dyDescent="0.25"/>
    <row r="23" customFormat="1" ht="15.75" customHeight="1" x14ac:dyDescent="0.25"/>
    <row r="24" customFormat="1" ht="15.75" customHeight="1" x14ac:dyDescent="0.25"/>
    <row r="25" customFormat="1" ht="15.75" customHeight="1" x14ac:dyDescent="0.25"/>
    <row r="26" customFormat="1" ht="15.75" customHeight="1" x14ac:dyDescent="0.25"/>
    <row r="27" customFormat="1" ht="15.75" customHeight="1" x14ac:dyDescent="0.25"/>
    <row r="28" customFormat="1" ht="15.75" customHeight="1" x14ac:dyDescent="0.25"/>
    <row r="29" customFormat="1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</sheetData>
  <phoneticPr fontId="8" type="noConversion"/>
  <pageMargins left="0.75" right="0.75" top="1" bottom="1" header="0.5" footer="0.5"/>
  <pageSetup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831A9-DF41-45DA-8726-D09EC4780855}">
  <dimension ref="B2:F15"/>
  <sheetViews>
    <sheetView topLeftCell="A9" zoomScale="145" zoomScaleNormal="145" workbookViewId="0">
      <selection activeCell="B14" sqref="B14"/>
    </sheetView>
  </sheetViews>
  <sheetFormatPr defaultColWidth="8.7109375" defaultRowHeight="15" x14ac:dyDescent="0.25"/>
  <cols>
    <col min="1" max="1" width="2.7109375" style="1" customWidth="1"/>
    <col min="2" max="2" width="20.28515625" style="1" customWidth="1"/>
    <col min="3" max="3" width="4.85546875" customWidth="1"/>
    <col min="4" max="4" width="7.5703125" customWidth="1"/>
    <col min="5" max="5" width="4.5703125" style="1" customWidth="1"/>
    <col min="6" max="6" width="24.140625" style="1" customWidth="1"/>
    <col min="7" max="7" width="8.7109375" style="1"/>
    <col min="8" max="8" width="11.7109375" style="1" bestFit="1" customWidth="1"/>
    <col min="9" max="16384" width="8.7109375" style="1"/>
  </cols>
  <sheetData>
    <row r="2" spans="2:6" ht="15.75" x14ac:dyDescent="0.25">
      <c r="B2" s="9" t="s">
        <v>9</v>
      </c>
    </row>
    <row r="4" spans="2:6" ht="15.75" customHeight="1" x14ac:dyDescent="0.25">
      <c r="B4" s="10" t="s">
        <v>10</v>
      </c>
    </row>
    <row r="5" spans="2:6" ht="15.75" customHeight="1" x14ac:dyDescent="0.25">
      <c r="B5" s="1">
        <v>2025</v>
      </c>
    </row>
    <row r="7" spans="2:6" ht="15.75" x14ac:dyDescent="0.25">
      <c r="B7" s="9" t="s">
        <v>11</v>
      </c>
      <c r="F7" s="9" t="s">
        <v>12</v>
      </c>
    </row>
    <row r="9" spans="2:6" ht="15.75" customHeight="1" x14ac:dyDescent="0.25">
      <c r="B9" s="10" t="s">
        <v>13</v>
      </c>
      <c r="F9" s="10" t="s">
        <v>14</v>
      </c>
    </row>
    <row r="10" spans="2:6" ht="15.75" customHeight="1" x14ac:dyDescent="0.25">
      <c r="B10" s="11" t="s">
        <v>15</v>
      </c>
      <c r="F10" s="1" t="s">
        <v>15</v>
      </c>
    </row>
    <row r="11" spans="2:6" ht="15.75" customHeight="1" x14ac:dyDescent="0.25">
      <c r="B11" s="12">
        <v>1</v>
      </c>
      <c r="D11">
        <v>2025</v>
      </c>
    </row>
    <row r="12" spans="2:6" ht="15.75" customHeight="1" x14ac:dyDescent="0.25">
      <c r="B12" s="13">
        <v>1</v>
      </c>
    </row>
    <row r="13" spans="2:6" ht="15.75" customHeight="1" thickBot="1" x14ac:dyDescent="0.3">
      <c r="B13" s="8">
        <v>3</v>
      </c>
    </row>
    <row r="14" spans="2:6" ht="15.75" customHeight="1" x14ac:dyDescent="0.25">
      <c r="B14">
        <v>5</v>
      </c>
    </row>
    <row r="15" spans="2:6" ht="15.75" customHeight="1" x14ac:dyDescent="0.25">
      <c r="B15"/>
    </row>
  </sheetData>
  <pageMargins left="0.75" right="0.75" top="1" bottom="1" header="0.5" footer="0.5"/>
  <pageSetup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99E8D-19E6-4E99-9A74-B95947A96D1F}">
  <dimension ref="B4:F19"/>
  <sheetViews>
    <sheetView topLeftCell="A3" zoomScaleNormal="100" workbookViewId="0">
      <selection activeCell="A3" sqref="A3"/>
    </sheetView>
  </sheetViews>
  <sheetFormatPr defaultColWidth="8.7109375" defaultRowHeight="12.75" x14ac:dyDescent="0.2"/>
  <cols>
    <col min="1" max="1" width="2.7109375" style="1" customWidth="1"/>
    <col min="2" max="2" width="11.28515625" style="1" customWidth="1"/>
    <col min="3" max="3" width="8.7109375" style="1"/>
    <col min="4" max="4" width="10.7109375" style="1" customWidth="1"/>
    <col min="5" max="5" width="11.5703125" style="1" customWidth="1"/>
    <col min="6" max="6" width="8.7109375" style="1"/>
    <col min="7" max="7" width="10.7109375" style="1" bestFit="1" customWidth="1"/>
    <col min="8" max="8" width="10.7109375" style="1" customWidth="1"/>
    <col min="9" max="11" width="8.7109375" style="1"/>
    <col min="12" max="12" width="9.28515625" style="1" customWidth="1"/>
    <col min="13" max="16384" width="8.7109375" style="1"/>
  </cols>
  <sheetData>
    <row r="4" spans="2:6" ht="15.75" customHeight="1" x14ac:dyDescent="0.25">
      <c r="B4" s="3" t="s">
        <v>16</v>
      </c>
      <c r="C4" s="3"/>
      <c r="D4" s="3"/>
      <c r="E4" s="3"/>
    </row>
    <row r="5" spans="2:6" ht="12.75" customHeight="1" x14ac:dyDescent="0.2">
      <c r="B5" s="4"/>
    </row>
    <row r="6" spans="2:6" ht="15.75" customHeight="1" x14ac:dyDescent="0.2">
      <c r="B6" s="4" t="s">
        <v>17</v>
      </c>
    </row>
    <row r="7" spans="2:6" ht="15.75" customHeight="1" thickBot="1" x14ac:dyDescent="0.25">
      <c r="B7" s="7" t="s">
        <v>18</v>
      </c>
      <c r="C7" s="7" t="s">
        <v>19</v>
      </c>
      <c r="D7" s="7" t="s">
        <v>20</v>
      </c>
      <c r="E7" s="7" t="s">
        <v>21</v>
      </c>
      <c r="F7" s="7" t="s">
        <v>22</v>
      </c>
    </row>
    <row r="8" spans="2:6" ht="15.75" customHeight="1" x14ac:dyDescent="0.2">
      <c r="B8" s="12"/>
      <c r="C8" s="12"/>
      <c r="D8" s="12"/>
      <c r="E8" s="12"/>
      <c r="F8" s="12"/>
    </row>
    <row r="9" spans="2:6" ht="15.75" customHeight="1" thickBot="1" x14ac:dyDescent="0.25">
      <c r="B9" s="15"/>
      <c r="C9" s="27"/>
      <c r="D9" s="27"/>
      <c r="E9" s="15"/>
      <c r="F9" s="15"/>
    </row>
    <row r="10" spans="2:6" ht="15.75" customHeight="1" x14ac:dyDescent="0.2"/>
    <row r="11" spans="2:6" ht="15.75" customHeight="1" x14ac:dyDescent="0.25">
      <c r="B11"/>
      <c r="C11"/>
      <c r="D11"/>
      <c r="E11"/>
      <c r="F11"/>
    </row>
    <row r="12" spans="2:6" ht="12.75" customHeight="1" x14ac:dyDescent="0.2"/>
    <row r="13" spans="2:6" ht="12.75" customHeight="1" x14ac:dyDescent="0.2">
      <c r="B13" s="2"/>
      <c r="E13" s="14"/>
      <c r="F13" s="14"/>
    </row>
    <row r="14" spans="2:6" ht="15.75" customHeight="1" x14ac:dyDescent="0.25">
      <c r="B14" s="3" t="s">
        <v>23</v>
      </c>
      <c r="C14" s="3"/>
      <c r="D14" s="3"/>
    </row>
    <row r="15" spans="2:6" ht="12.75" customHeight="1" x14ac:dyDescent="0.2"/>
    <row r="16" spans="2:6" ht="15.75" customHeight="1" x14ac:dyDescent="0.2">
      <c r="B16" s="4" t="s">
        <v>24</v>
      </c>
    </row>
    <row r="17" spans="2:5" ht="15.75" customHeight="1" thickBot="1" x14ac:dyDescent="0.25">
      <c r="B17" s="7" t="s">
        <v>19</v>
      </c>
      <c r="C17" s="7" t="s">
        <v>21</v>
      </c>
      <c r="D17" s="7" t="s">
        <v>25</v>
      </c>
      <c r="E17" s="7" t="s">
        <v>22</v>
      </c>
    </row>
    <row r="18" spans="2:5" ht="15.75" customHeight="1" x14ac:dyDescent="0.2">
      <c r="B18" s="1" t="s">
        <v>26</v>
      </c>
      <c r="C18" s="1">
        <v>5555</v>
      </c>
      <c r="D18" s="1" t="s">
        <v>27</v>
      </c>
      <c r="E18" s="1" t="s">
        <v>28</v>
      </c>
    </row>
    <row r="19" spans="2:5" ht="15.75" customHeight="1" thickBot="1" x14ac:dyDescent="0.25">
      <c r="B19" s="15" t="s">
        <v>26</v>
      </c>
      <c r="C19" s="15">
        <v>9999</v>
      </c>
      <c r="D19" s="15" t="s">
        <v>27</v>
      </c>
      <c r="E19" s="15" t="s">
        <v>29</v>
      </c>
    </row>
  </sheetData>
  <pageMargins left="0.75" right="0.75" top="1" bottom="1" header="0.5" footer="0.5"/>
  <pageSetup paperSize="9" orientation="portrait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CF93-C7B6-403A-BEF2-34DB220AE215}">
  <dimension ref="B2:D17"/>
  <sheetViews>
    <sheetView tabSelected="1" topLeftCell="A3" zoomScale="160" zoomScaleNormal="160" workbookViewId="0">
      <selection activeCell="G13" sqref="G13"/>
    </sheetView>
  </sheetViews>
  <sheetFormatPr defaultColWidth="9.28515625" defaultRowHeight="15" x14ac:dyDescent="0.25"/>
  <cols>
    <col min="1" max="1" width="2.7109375" style="16" customWidth="1"/>
    <col min="2" max="2" width="16.7109375" customWidth="1"/>
    <col min="3" max="3" width="14" customWidth="1"/>
    <col min="4" max="4" width="10.42578125" bestFit="1" customWidth="1"/>
    <col min="5" max="16384" width="9.28515625" style="16"/>
  </cols>
  <sheetData>
    <row r="2" spans="2:4" ht="18" x14ac:dyDescent="0.25">
      <c r="B2" s="3" t="s">
        <v>84</v>
      </c>
      <c r="C2" s="3"/>
      <c r="D2" s="16"/>
    </row>
    <row r="3" spans="2:4" ht="14.25" customHeight="1" x14ac:dyDescent="0.2">
      <c r="B3" s="16"/>
      <c r="C3" s="16"/>
      <c r="D3" s="16"/>
    </row>
    <row r="4" spans="2:4" ht="18.75" customHeight="1" x14ac:dyDescent="0.25">
      <c r="B4" s="24" t="s">
        <v>30</v>
      </c>
      <c r="C4" s="24"/>
      <c r="D4" s="24"/>
    </row>
    <row r="5" spans="2:4" ht="26.25" thickBot="1" x14ac:dyDescent="0.25">
      <c r="B5" s="25" t="s">
        <v>31</v>
      </c>
      <c r="C5" s="25" t="s">
        <v>19</v>
      </c>
      <c r="D5" s="25" t="s">
        <v>21</v>
      </c>
    </row>
    <row r="6" spans="2:4" ht="18.75" customHeight="1" x14ac:dyDescent="0.2">
      <c r="B6" s="26"/>
      <c r="C6" s="26" t="s">
        <v>33</v>
      </c>
      <c r="D6" s="26">
        <v>2025</v>
      </c>
    </row>
    <row r="7" spans="2:4" ht="18.75" customHeight="1" x14ac:dyDescent="0.2">
      <c r="B7" s="23"/>
      <c r="C7" s="23" t="s">
        <v>83</v>
      </c>
      <c r="D7" s="23">
        <v>0.08</v>
      </c>
    </row>
    <row r="8" spans="2:4" ht="18.75" customHeight="1" thickBot="1" x14ac:dyDescent="0.25">
      <c r="B8" s="29" t="s">
        <v>96</v>
      </c>
      <c r="C8" s="29" t="s">
        <v>80</v>
      </c>
      <c r="D8" s="30">
        <f>1/8</f>
        <v>0.125</v>
      </c>
    </row>
    <row r="9" spans="2:4" ht="15.75" thickBot="1" x14ac:dyDescent="0.3">
      <c r="B9" t="s">
        <v>97</v>
      </c>
      <c r="C9" t="s">
        <v>80</v>
      </c>
      <c r="D9" s="30">
        <f t="shared" ref="D9:D15" si="0">1/8</f>
        <v>0.125</v>
      </c>
    </row>
    <row r="10" spans="2:4" ht="15.75" thickBot="1" x14ac:dyDescent="0.3">
      <c r="B10" t="s">
        <v>98</v>
      </c>
      <c r="C10" t="s">
        <v>80</v>
      </c>
      <c r="D10" s="30">
        <f t="shared" si="0"/>
        <v>0.125</v>
      </c>
    </row>
    <row r="11" spans="2:4" ht="15.75" thickBot="1" x14ac:dyDescent="0.3">
      <c r="B11" t="s">
        <v>99</v>
      </c>
      <c r="C11" t="s">
        <v>80</v>
      </c>
      <c r="D11" s="30">
        <f t="shared" si="0"/>
        <v>0.125</v>
      </c>
    </row>
    <row r="12" spans="2:4" ht="15.75" thickBot="1" x14ac:dyDescent="0.3">
      <c r="B12" t="s">
        <v>100</v>
      </c>
      <c r="C12" t="s">
        <v>80</v>
      </c>
      <c r="D12" s="30">
        <f t="shared" si="0"/>
        <v>0.125</v>
      </c>
    </row>
    <row r="13" spans="2:4" ht="15.75" thickBot="1" x14ac:dyDescent="0.3">
      <c r="B13" t="s">
        <v>101</v>
      </c>
      <c r="C13" t="s">
        <v>80</v>
      </c>
      <c r="D13" s="30">
        <f t="shared" si="0"/>
        <v>0.125</v>
      </c>
    </row>
    <row r="14" spans="2:4" ht="15.75" thickBot="1" x14ac:dyDescent="0.3">
      <c r="B14" t="s">
        <v>102</v>
      </c>
      <c r="C14" t="s">
        <v>80</v>
      </c>
      <c r="D14" s="30">
        <f t="shared" si="0"/>
        <v>0.125</v>
      </c>
    </row>
    <row r="15" spans="2:4" ht="15.75" thickBot="1" x14ac:dyDescent="0.3">
      <c r="B15" t="s">
        <v>103</v>
      </c>
      <c r="C15" t="s">
        <v>80</v>
      </c>
      <c r="D15" s="30">
        <f t="shared" si="0"/>
        <v>0.125</v>
      </c>
    </row>
    <row r="17" spans="4:4" x14ac:dyDescent="0.25">
      <c r="D17" s="31">
        <f>SUM(D8:D15)</f>
        <v>1</v>
      </c>
    </row>
  </sheetData>
  <phoneticPr fontId="8" type="noConversion"/>
  <pageMargins left="0.7" right="0.7" top="0.75" bottom="0.75" header="0.3" footer="0.3"/>
  <pageSetup paperSize="9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AA0C0-58F4-4958-948A-977259733BDA}">
  <dimension ref="B2:I33"/>
  <sheetViews>
    <sheetView workbookViewId="0">
      <selection activeCell="B2" sqref="B2"/>
    </sheetView>
  </sheetViews>
  <sheetFormatPr defaultColWidth="8.7109375" defaultRowHeight="12.75" x14ac:dyDescent="0.2"/>
  <cols>
    <col min="1" max="1" width="2.7109375" style="1" customWidth="1"/>
    <col min="2" max="2" width="16.5703125" style="1" customWidth="1"/>
    <col min="3" max="3" width="11.28515625" style="1" customWidth="1"/>
    <col min="4" max="4" width="15.5703125" style="1" bestFit="1" customWidth="1"/>
    <col min="5" max="16384" width="8.7109375" style="1"/>
  </cols>
  <sheetData>
    <row r="2" spans="2:9" ht="18" x14ac:dyDescent="0.25">
      <c r="B2" s="3" t="s">
        <v>85</v>
      </c>
      <c r="D2" s="3" t="s">
        <v>86</v>
      </c>
      <c r="E2" s="3"/>
      <c r="F2" s="3"/>
    </row>
    <row r="4" spans="2:9" ht="15" customHeight="1" x14ac:dyDescent="0.2">
      <c r="B4" s="4" t="s">
        <v>34</v>
      </c>
      <c r="D4" s="4" t="s">
        <v>35</v>
      </c>
    </row>
    <row r="5" spans="2:9" ht="15" customHeight="1" thickBot="1" x14ac:dyDescent="0.25">
      <c r="B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</row>
    <row r="6" spans="2:9" ht="15" customHeight="1" x14ac:dyDescent="0.2">
      <c r="B6" s="1" t="s">
        <v>81</v>
      </c>
      <c r="D6" s="1" t="s">
        <v>44</v>
      </c>
      <c r="E6" s="1" t="s">
        <v>45</v>
      </c>
      <c r="F6" s="1" t="s">
        <v>45</v>
      </c>
      <c r="G6" s="1" t="s">
        <v>45</v>
      </c>
      <c r="H6" s="1" t="s">
        <v>45</v>
      </c>
      <c r="I6" s="1" t="s">
        <v>46</v>
      </c>
    </row>
    <row r="7" spans="2:9" ht="15" customHeight="1" thickBot="1" x14ac:dyDescent="0.25">
      <c r="B7" s="15" t="s">
        <v>43</v>
      </c>
      <c r="D7" s="13" t="s">
        <v>48</v>
      </c>
      <c r="E7" s="13" t="s">
        <v>49</v>
      </c>
      <c r="F7" s="13" t="s">
        <v>50</v>
      </c>
      <c r="G7" s="13" t="s">
        <v>50</v>
      </c>
      <c r="H7" s="13" t="s">
        <v>49</v>
      </c>
      <c r="I7" s="13" t="s">
        <v>51</v>
      </c>
    </row>
    <row r="8" spans="2:9" ht="15" customHeight="1" thickBot="1" x14ac:dyDescent="0.25">
      <c r="D8" s="8" t="s">
        <v>52</v>
      </c>
      <c r="E8" s="8" t="s">
        <v>45</v>
      </c>
      <c r="F8" s="8" t="s">
        <v>45</v>
      </c>
      <c r="G8" s="8" t="s">
        <v>45</v>
      </c>
      <c r="H8" s="8" t="s">
        <v>45</v>
      </c>
      <c r="I8" s="8" t="s">
        <v>46</v>
      </c>
    </row>
    <row r="9" spans="2:9" ht="12.75" customHeight="1" x14ac:dyDescent="0.2"/>
    <row r="10" spans="2:9" ht="12.75" customHeight="1" x14ac:dyDescent="0.2"/>
    <row r="11" spans="2:9" ht="18" x14ac:dyDescent="0.25">
      <c r="B11" s="3" t="s">
        <v>87</v>
      </c>
      <c r="C11" s="3"/>
      <c r="D11" s="3"/>
      <c r="E11"/>
    </row>
    <row r="13" spans="2:9" ht="15.75" customHeight="1" x14ac:dyDescent="0.2">
      <c r="B13" s="4" t="s">
        <v>53</v>
      </c>
    </row>
    <row r="14" spans="2:9" ht="15.75" customHeight="1" thickBot="1" x14ac:dyDescent="0.25">
      <c r="B14" s="7" t="s">
        <v>54</v>
      </c>
      <c r="C14" s="7" t="s">
        <v>55</v>
      </c>
      <c r="D14" s="7" t="s">
        <v>56</v>
      </c>
    </row>
    <row r="15" spans="2:9" ht="15.75" customHeight="1" x14ac:dyDescent="0.2">
      <c r="B15" s="1" t="s">
        <v>57</v>
      </c>
      <c r="C15" s="1" t="s">
        <v>45</v>
      </c>
      <c r="D15" s="1">
        <v>1055.55</v>
      </c>
    </row>
    <row r="16" spans="2:9" ht="15.75" customHeight="1" x14ac:dyDescent="0.2">
      <c r="B16" s="13" t="s">
        <v>58</v>
      </c>
      <c r="C16" s="13" t="s">
        <v>45</v>
      </c>
      <c r="D16" s="13">
        <v>3.6</v>
      </c>
    </row>
    <row r="17" spans="2:4" ht="15.75" customHeight="1" x14ac:dyDescent="0.2">
      <c r="B17" s="1" t="s">
        <v>59</v>
      </c>
      <c r="C17" s="1" t="s">
        <v>60</v>
      </c>
      <c r="D17" s="1">
        <v>1000</v>
      </c>
    </row>
    <row r="18" spans="2:4" ht="15.75" customHeight="1" x14ac:dyDescent="0.2">
      <c r="B18" s="13" t="s">
        <v>61</v>
      </c>
      <c r="C18" s="13" t="s">
        <v>62</v>
      </c>
      <c r="D18" s="13">
        <v>1000</v>
      </c>
    </row>
    <row r="19" spans="2:4" ht="15.75" customHeight="1" x14ac:dyDescent="0.2">
      <c r="B19" s="1" t="s">
        <v>63</v>
      </c>
      <c r="C19" s="1" t="s">
        <v>45</v>
      </c>
      <c r="D19" s="1">
        <v>1.05555</v>
      </c>
    </row>
    <row r="20" spans="2:4" ht="15.75" customHeight="1" x14ac:dyDescent="0.2">
      <c r="B20" s="13" t="s">
        <v>64</v>
      </c>
      <c r="C20" s="13" t="s">
        <v>45</v>
      </c>
      <c r="D20" s="13">
        <v>4.1868000000000002E-2</v>
      </c>
    </row>
    <row r="21" spans="2:4" ht="15.75" customHeight="1" x14ac:dyDescent="0.2">
      <c r="B21" s="1" t="s">
        <v>65</v>
      </c>
      <c r="C21" s="1" t="s">
        <v>45</v>
      </c>
      <c r="D21" s="1">
        <v>41.868000000000002</v>
      </c>
    </row>
    <row r="22" spans="2:4" ht="15.75" customHeight="1" x14ac:dyDescent="0.2">
      <c r="B22" s="13" t="s">
        <v>66</v>
      </c>
      <c r="C22" s="13" t="s">
        <v>45</v>
      </c>
      <c r="D22" s="13">
        <v>3.5999999999999999E-3</v>
      </c>
    </row>
    <row r="23" spans="2:4" ht="15.75" customHeight="1" x14ac:dyDescent="0.2">
      <c r="B23" s="1" t="s">
        <v>67</v>
      </c>
      <c r="C23" s="1" t="s">
        <v>60</v>
      </c>
      <c r="D23" s="1">
        <v>1000000</v>
      </c>
    </row>
    <row r="24" spans="2:4" ht="15.75" customHeight="1" x14ac:dyDescent="0.2">
      <c r="B24" s="13" t="s">
        <v>68</v>
      </c>
      <c r="C24" s="13" t="s">
        <v>69</v>
      </c>
      <c r="D24" s="13">
        <v>1000</v>
      </c>
    </row>
    <row r="25" spans="2:4" ht="15.75" customHeight="1" x14ac:dyDescent="0.2">
      <c r="B25" s="1" t="s">
        <v>70</v>
      </c>
      <c r="C25" s="1" t="s">
        <v>71</v>
      </c>
      <c r="D25" s="1">
        <v>0.15384600000000001</v>
      </c>
    </row>
    <row r="26" spans="2:4" ht="15.75" customHeight="1" x14ac:dyDescent="0.2">
      <c r="B26" s="13" t="s">
        <v>72</v>
      </c>
      <c r="C26" s="13" t="s">
        <v>73</v>
      </c>
      <c r="D26" s="13">
        <v>-1E-3</v>
      </c>
    </row>
    <row r="27" spans="2:4" ht="15.75" customHeight="1" x14ac:dyDescent="0.2">
      <c r="B27" s="1" t="s">
        <v>74</v>
      </c>
      <c r="C27" s="1" t="s">
        <v>45</v>
      </c>
      <c r="D27" s="1">
        <v>1000</v>
      </c>
    </row>
    <row r="28" spans="2:4" ht="15.75" customHeight="1" x14ac:dyDescent="0.2">
      <c r="B28" s="13" t="s">
        <v>75</v>
      </c>
      <c r="C28" s="13" t="s">
        <v>45</v>
      </c>
      <c r="D28" s="13">
        <v>37.681199999999997</v>
      </c>
    </row>
    <row r="29" spans="2:4" ht="15.75" customHeight="1" x14ac:dyDescent="0.2">
      <c r="B29" s="1" t="s">
        <v>76</v>
      </c>
      <c r="C29" s="1" t="s">
        <v>45</v>
      </c>
      <c r="D29" s="1">
        <v>2299</v>
      </c>
    </row>
    <row r="30" spans="2:4" ht="15.75" customHeight="1" x14ac:dyDescent="0.2">
      <c r="B30" s="13" t="s">
        <v>77</v>
      </c>
      <c r="C30" s="13" t="s">
        <v>71</v>
      </c>
      <c r="D30" s="13">
        <v>2.7777769999999999</v>
      </c>
    </row>
    <row r="31" spans="2:4" ht="15.75" customHeight="1" x14ac:dyDescent="0.2">
      <c r="B31" s="1" t="s">
        <v>45</v>
      </c>
      <c r="C31" s="1" t="s">
        <v>58</v>
      </c>
      <c r="D31" s="1">
        <f>1/3.6</f>
        <v>0.27777777777777779</v>
      </c>
    </row>
    <row r="32" spans="2:4" ht="15.75" customHeight="1" x14ac:dyDescent="0.2">
      <c r="B32" s="13" t="s">
        <v>45</v>
      </c>
      <c r="C32" s="13" t="s">
        <v>45</v>
      </c>
      <c r="D32" s="13">
        <v>1</v>
      </c>
    </row>
    <row r="33" spans="2:4" ht="15.75" customHeight="1" thickBot="1" x14ac:dyDescent="0.25">
      <c r="B33" s="17" t="s">
        <v>43</v>
      </c>
      <c r="C33" s="17" t="s">
        <v>47</v>
      </c>
      <c r="D33" s="17">
        <v>4.5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917B5-2C7E-4679-A102-08F8B7441896}">
  <dimension ref="B2:D6"/>
  <sheetViews>
    <sheetView workbookViewId="0"/>
  </sheetViews>
  <sheetFormatPr defaultColWidth="9.28515625" defaultRowHeight="12.75" x14ac:dyDescent="0.2"/>
  <cols>
    <col min="1" max="1" width="2.7109375" style="20" customWidth="1"/>
    <col min="2" max="2" width="10.28515625" style="20" bestFit="1" customWidth="1"/>
    <col min="3" max="3" width="14.28515625" style="20" bestFit="1" customWidth="1"/>
    <col min="4" max="4" width="10.42578125" style="20" bestFit="1" customWidth="1"/>
    <col min="5" max="16384" width="9.28515625" style="20"/>
  </cols>
  <sheetData>
    <row r="2" spans="2:4" ht="18" x14ac:dyDescent="0.25">
      <c r="B2" s="3" t="s">
        <v>88</v>
      </c>
      <c r="C2" s="3"/>
      <c r="D2" s="3"/>
    </row>
    <row r="4" spans="2:4" x14ac:dyDescent="0.2">
      <c r="B4" s="18" t="s">
        <v>30</v>
      </c>
      <c r="C4" s="19"/>
      <c r="D4" s="19"/>
    </row>
    <row r="5" spans="2:4" x14ac:dyDescent="0.2">
      <c r="B5" s="21" t="s">
        <v>19</v>
      </c>
      <c r="C5" s="21" t="s">
        <v>32</v>
      </c>
      <c r="D5" s="21" t="s">
        <v>21</v>
      </c>
    </row>
    <row r="6" spans="2:4" ht="13.5" thickBot="1" x14ac:dyDescent="0.25">
      <c r="B6" s="22" t="s">
        <v>78</v>
      </c>
      <c r="C6" s="22" t="s">
        <v>79</v>
      </c>
      <c r="D6" s="22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5A2D8ABDD1064B8560F0E0020228D7" ma:contentTypeVersion="11" ma:contentTypeDescription="Create a new document." ma:contentTypeScope="" ma:versionID="faba48c57225b8cf4893994d76bae982">
  <xsd:schema xmlns:xsd="http://www.w3.org/2001/XMLSchema" xmlns:xs="http://www.w3.org/2001/XMLSchema" xmlns:p="http://schemas.microsoft.com/office/2006/metadata/properties" xmlns:ns2="154c1c0f-2c06-4f37-a5b1-faba3524bf7f" xmlns:ns3="0be4b9af-ad17-4489-a21e-b8b210aeb5f9" targetNamespace="http://schemas.microsoft.com/office/2006/metadata/properties" ma:root="true" ma:fieldsID="653a6a65a0f1497e1436c43ea8aacb76" ns2:_="" ns3:_="">
    <xsd:import namespace="154c1c0f-2c06-4f37-a5b1-faba3524bf7f"/>
    <xsd:import namespace="0be4b9af-ad17-4489-a21e-b8b210aeb5f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4c1c0f-2c06-4f37-a5b1-faba3524bf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e4b9af-ad17-4489-a21e-b8b210aeb5f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934fa774-6324-4670-aa1a-daa689219115}" ma:internalName="TaxCatchAll" ma:showField="CatchAllData" ma:web="0be4b9af-ad17-4489-a21e-b8b210aeb5f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54c1c0f-2c06-4f37-a5b1-faba3524bf7f">
      <Terms xmlns="http://schemas.microsoft.com/office/infopath/2007/PartnerControls"/>
    </lcf76f155ced4ddcb4097134ff3c332f>
    <TaxCatchAll xmlns="0be4b9af-ad17-4489-a21e-b8b210aeb5f9" xsi:nil="true"/>
  </documentManagement>
</p:properties>
</file>

<file path=customXml/itemProps1.xml><?xml version="1.0" encoding="utf-8"?>
<ds:datastoreItem xmlns:ds="http://schemas.openxmlformats.org/officeDocument/2006/customXml" ds:itemID="{EC507C37-6D94-49C9-9631-28E3A5FDD97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C22B888-B004-4DDB-A401-1DC505E3736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4c1c0f-2c06-4f37-a5b1-faba3524bf7f"/>
    <ds:schemaRef ds:uri="0be4b9af-ad17-4489-a21e-b8b210aeb5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6DF0508-E134-4C36-AFE9-9AAFDD53DF25}">
  <ds:schemaRefs>
    <ds:schemaRef ds:uri="http://schemas.microsoft.com/office/2006/metadata/properties"/>
    <ds:schemaRef ds:uri="http://schemas.microsoft.com/office/infopath/2007/PartnerControls"/>
    <ds:schemaRef ds:uri="154c1c0f-2c06-4f37-a5b1-faba3524bf7f"/>
    <ds:schemaRef ds:uri="0be4b9af-ad17-4489-a21e-b8b210aeb5f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Region-Time Slices</vt:lpstr>
      <vt:lpstr>TimePeriods</vt:lpstr>
      <vt:lpstr>Interpol_Extrapol_Defaults</vt:lpstr>
      <vt:lpstr>Constants</vt:lpstr>
      <vt:lpstr>Defaults</vt:lpstr>
      <vt:lpstr>Reporting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Maciej Raczyński</dc:creator>
  <cp:lastModifiedBy>Maciej Raczyński</cp:lastModifiedBy>
  <dcterms:created xsi:type="dcterms:W3CDTF">2015-06-05T18:17:20Z</dcterms:created>
  <dcterms:modified xsi:type="dcterms:W3CDTF">2025-11-04T07:46:43Z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</Properties>
</file>