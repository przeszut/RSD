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ntegrated Energy Resource Planning\Model_03\SubRES_TMPL\"/>
    </mc:Choice>
  </mc:AlternateContent>
  <xr:revisionPtr revIDLastSave="0" documentId="13_ncr:1_{5B461985-5717-4CFF-8B40-909BAFA6201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data" sheetId="4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E8" i="4"/>
  <c r="C8" i="4"/>
  <c r="B8" i="4"/>
  <c r="G7" i="4"/>
  <c r="E7" i="4"/>
  <c r="C7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5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B13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3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3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3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3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20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0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1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<sst xmlns="http://schemas.openxmlformats.org/spreadsheetml/2006/main" count="85" uniqueCount="77">
  <si>
    <t>~FI_T</t>
  </si>
  <si>
    <t>TechName</t>
  </si>
  <si>
    <t>* TechDesc</t>
  </si>
  <si>
    <t>Comm-IN-A</t>
  </si>
  <si>
    <t>Comm-IN</t>
  </si>
  <si>
    <t>Comm-OUT-A</t>
  </si>
  <si>
    <t>Comm-OUT</t>
  </si>
  <si>
    <t>START</t>
  </si>
  <si>
    <t>STG_EFF</t>
  </si>
  <si>
    <t>AFA</t>
  </si>
  <si>
    <t>Life</t>
  </si>
  <si>
    <t>CAP2ACT</t>
  </si>
  <si>
    <t>INVCOST</t>
  </si>
  <si>
    <t>FIXOM</t>
  </si>
  <si>
    <t>VAROM</t>
  </si>
  <si>
    <t>PEAK</t>
  </si>
  <si>
    <t>\I:Technology Name</t>
  </si>
  <si>
    <t>Technology Description</t>
  </si>
  <si>
    <t>Auxiliary Input Commodity</t>
  </si>
  <si>
    <t>Input Commodity</t>
  </si>
  <si>
    <t>Auxiliary Output Commodity</t>
  </si>
  <si>
    <t>Output Commodity</t>
  </si>
  <si>
    <t>Starting Year</t>
  </si>
  <si>
    <t>Efficiency</t>
  </si>
  <si>
    <t>Annual Availability Factor</t>
  </si>
  <si>
    <t>Lifetime of Process</t>
  </si>
  <si>
    <t>Capacity to Activity Factor</t>
  </si>
  <si>
    <t>Investment Cost</t>
  </si>
  <si>
    <t>Fixed O&amp;M Cost</t>
  </si>
  <si>
    <t>Variable O&amp;M Cost</t>
  </si>
  <si>
    <t>Capacity fraction during peal load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</si>
  <si>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</si>
  <si>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</si>
  <si>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</si>
  <si>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</si>
  <si>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</si>
  <si>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</si>
  <si>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</si>
  <si>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</si>
  <si>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</si>
  <si>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</si>
  <si>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</si>
  <si>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</si>
  <si>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</si>
  <si>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</si>
  <si>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</si>
  <si>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</si>
  <si>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</si>
  <si>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ELEC_HV</t>
  </si>
  <si>
    <t>High Voltage Electricity (&gt;110 kV)</t>
  </si>
  <si>
    <t>PJ</t>
  </si>
  <si>
    <t>DAYNITE</t>
  </si>
  <si>
    <t>ANNUAL</t>
  </si>
  <si>
    <t>ELC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</si>
  <si>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</si>
  <si>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</si>
  <si>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</si>
  <si>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</si>
  <si>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</si>
  <si>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</si>
  <si>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</si>
  <si>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</si>
  <si>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</si>
  <si>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</si>
  <si>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</si>
  <si>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</si>
  <si>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</si>
  <si>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</si>
  <si>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</si>
  <si>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STS</t>
  </si>
  <si>
    <t>NEW_ELEC_STG</t>
  </si>
  <si>
    <t>Electricity Storage</t>
  </si>
  <si>
    <t>PJ/a</t>
  </si>
  <si>
    <t>New Storage Processes</t>
  </si>
  <si>
    <t>NEW_ELEC_STG2</t>
  </si>
  <si>
    <t>Electricity Storage (add.)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</si>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</sst>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center"/>
    </xf>
    <xf numFmtId="0" fontId="3" fillId="4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2" xfId="1" applyFill="1" applyBorder="1" applyAlignment="1">
      <alignment horizontal="center" wrapText="1"/>
    </xf>
    <xf numFmtId="0" fontId="2" fillId="3" borderId="2" xfId="1" applyFill="1" applyBorder="1" applyAlignment="1">
      <alignment horizontal="left" wrapText="1"/>
    </xf>
    <xf numFmtId="0" fontId="2" fillId="3" borderId="0" xfId="1" applyFill="1" applyAlignment="1">
      <alignment horizontal="left" wrapText="1"/>
    </xf>
    <xf numFmtId="0" fontId="5" fillId="6" borderId="2" xfId="0" applyFont="1" applyFill="1" applyBorder="1" applyAlignment="1">
      <alignment vertical="center"/>
    </xf>
    <xf numFmtId="0" fontId="0" fillId="0" borderId="3" xfId="0" applyBorder="1"/>
    <xf numFmtId="0" fontId="8" fillId="5" borderId="3" xfId="0" applyFont="1" applyFill="1" applyBorder="1"/>
    <xf numFmtId="0" fontId="8" fillId="5" borderId="2" xfId="0" applyFont="1" applyFill="1" applyBorder="1"/>
    <xf numFmtId="164" fontId="8" fillId="5" borderId="2" xfId="0" applyNumberFormat="1" applyFont="1" applyFill="1" applyBorder="1"/>
    <xf numFmtId="164" fontId="8" fillId="5" borderId="3" xfId="0" applyNumberFormat="1" applyFont="1" applyFill="1" applyBorder="1"/>
    <xf numFmtId="164" fontId="8" fillId="5" borderId="1" xfId="0" applyNumberFormat="1" applyFont="1" applyFill="1" applyBorder="1"/>
  </cellXfs>
  <cellStyles count="2">
    <cellStyle name="Normal 10" xfId="1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V23"/>
  <sheetViews>
    <sheetView tabSelected="1" zoomScale="70" zoomScaleNormal="90" workbookViewId="0">
      <selection activeCell="B33" sqref="B33"/>
    </sheetView>
  </sheetViews>
  <sheetFormatPr defaultRowHeight="13.2" x14ac:dyDescent="0.25"/>
  <cols>
    <col min="1" max="1" width="2.77734375" customWidth="1"/>
    <col min="2" max="2" width="40.77734375" customWidth="1"/>
    <col min="3" max="3" width="22.77734375" bestFit="1" customWidth="1"/>
    <col min="4" max="4" width="18.21875" customWidth="1"/>
    <col min="5" max="5" width="15.77734375" customWidth="1"/>
    <col min="6" max="6" width="15.21875" customWidth="1"/>
    <col min="7" max="7" width="15.77734375" customWidth="1"/>
    <col min="8" max="8" width="13.44140625" bestFit="1" customWidth="1"/>
    <col min="9" max="9" width="14.77734375" bestFit="1" customWidth="1"/>
    <col min="10" max="11" width="13.21875" customWidth="1"/>
    <col min="12" max="12" width="9.77734375" customWidth="1"/>
    <col min="13" max="13" width="13.21875" customWidth="1"/>
    <col min="14" max="14" width="11.21875" customWidth="1"/>
    <col min="15" max="15" width="12.5546875" customWidth="1"/>
    <col min="16" max="16" width="14.5546875" customWidth="1"/>
    <col min="17" max="17" width="13.21875" customWidth="1"/>
    <col min="18" max="18" width="13.77734375" customWidth="1"/>
    <col min="19" max="19" width="11.44140625" customWidth="1"/>
  </cols>
  <sheetData>
    <row r="1" spans="2:22" ht="15.6" x14ac:dyDescent="0.3">
      <c r="B1" s="10"/>
    </row>
    <row r="2" spans="2:22" ht="17.399999999999999" x14ac:dyDescent="0.3">
      <c r="B2" s="8" t="s">
        <v>73</v>
      </c>
    </row>
    <row r="3" spans="2:22" x14ac:dyDescent="0.25">
      <c r="F3" s="2"/>
      <c r="G3" s="2"/>
      <c r="H3" s="1"/>
      <c r="I3" s="1"/>
    </row>
    <row r="4" spans="2:22" x14ac:dyDescent="0.25">
      <c r="F4" s="1"/>
      <c r="G4" s="1" t="s">
        <v>0</v>
      </c>
      <c r="H4" s="1"/>
      <c r="I4" s="1"/>
    </row>
    <row r="5" spans="2:22" x14ac:dyDescent="0.25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4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</row>
    <row r="6" spans="2:22" s="3" customFormat="1" ht="39.6" x14ac:dyDescent="0.25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  <c r="P6" s="11" t="s">
        <v>30</v>
      </c>
      <c r="Q6"/>
      <c r="R6"/>
      <c r="S6"/>
      <c r="T6"/>
      <c r="U6"/>
      <c r="V6"/>
    </row>
    <row r="7" spans="2:22" ht="18.75" customHeight="1" x14ac:dyDescent="0.25">
      <c r="B7" s="17" t="str">
        <f>C22</f>
        <v>NEW_ELEC_STG</v>
      </c>
      <c r="C7" s="17" t="str">
        <f>D22</f>
        <v>Electricity Storage</v>
      </c>
      <c r="D7" s="17"/>
      <c r="E7" s="18" t="str">
        <f>C15</f>
        <v>ELEC_HV</v>
      </c>
      <c r="F7" s="17"/>
      <c r="G7" s="18" t="str">
        <f>C15</f>
        <v>ELEC_HV</v>
      </c>
      <c r="H7" s="17">
        <v>2025</v>
      </c>
      <c r="I7" s="17">
        <v>0.9</v>
      </c>
      <c r="J7" s="17">
        <v>1</v>
      </c>
      <c r="K7" s="17">
        <v>20</v>
      </c>
      <c r="L7" s="17">
        <v>1</v>
      </c>
      <c r="M7" s="17">
        <v>5000</v>
      </c>
      <c r="N7" s="17">
        <v>1</v>
      </c>
      <c r="O7" s="17">
        <v>1</v>
      </c>
      <c r="P7" s="17">
        <v>1</v>
      </c>
    </row>
    <row r="8" spans="2:22" ht="18.75" customHeight="1" x14ac:dyDescent="0.25">
      <c r="B8" s="16" t="str">
        <f>C23</f>
        <v>NEW_ELEC_STG2</v>
      </c>
      <c r="C8" s="16" t="str">
        <f>D23</f>
        <v>Electricity Storage (add.)</v>
      </c>
      <c r="D8" s="16"/>
      <c r="E8" s="19" t="str">
        <f>C15</f>
        <v>ELEC_HV</v>
      </c>
      <c r="F8" s="16"/>
      <c r="G8" s="19" t="str">
        <f>C15</f>
        <v>ELEC_HV</v>
      </c>
      <c r="H8" s="16">
        <v>2025</v>
      </c>
      <c r="I8" s="16">
        <v>0.94</v>
      </c>
      <c r="J8" s="16">
        <v>1</v>
      </c>
      <c r="K8" s="16">
        <v>25</v>
      </c>
      <c r="L8" s="16">
        <v>1</v>
      </c>
      <c r="M8" s="16">
        <v>4000</v>
      </c>
      <c r="N8" s="16">
        <v>1</v>
      </c>
      <c r="O8" s="16">
        <v>1</v>
      </c>
      <c r="P8" s="16">
        <v>1</v>
      </c>
    </row>
    <row r="12" spans="2:22" x14ac:dyDescent="0.25">
      <c r="B12" s="1" t="s">
        <v>31</v>
      </c>
      <c r="C12" s="3"/>
      <c r="D12" s="3"/>
      <c r="E12" s="3"/>
      <c r="F12" s="3"/>
      <c r="G12" s="3"/>
      <c r="H12" s="3"/>
      <c r="I12" s="3"/>
    </row>
    <row r="13" spans="2:22" x14ac:dyDescent="0.25">
      <c r="B13" s="5" t="s">
        <v>32</v>
      </c>
      <c r="C13" s="5" t="s">
        <v>33</v>
      </c>
      <c r="D13" s="5" t="s">
        <v>34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</row>
    <row r="14" spans="2:22" ht="26.4" x14ac:dyDescent="0.25">
      <c r="B14" s="12" t="s">
        <v>40</v>
      </c>
      <c r="C14" s="12" t="s">
        <v>41</v>
      </c>
      <c r="D14" s="12" t="s">
        <v>42</v>
      </c>
      <c r="E14" s="12" t="s">
        <v>35</v>
      </c>
      <c r="F14" s="12" t="s">
        <v>43</v>
      </c>
      <c r="G14" s="12" t="s">
        <v>44</v>
      </c>
      <c r="H14" s="12" t="s">
        <v>45</v>
      </c>
      <c r="I14" s="12" t="s">
        <v>46</v>
      </c>
    </row>
    <row r="15" spans="2:22" ht="18.75" customHeight="1" x14ac:dyDescent="0.25">
      <c r="B15" s="20" t="s">
        <v>47</v>
      </c>
      <c r="C15" s="20" t="s">
        <v>48</v>
      </c>
      <c r="D15" s="20" t="s">
        <v>49</v>
      </c>
      <c r="E15" s="20" t="s">
        <v>50</v>
      </c>
      <c r="F15" s="20"/>
      <c r="G15" s="20" t="s">
        <v>51</v>
      </c>
      <c r="H15" s="20" t="s">
        <v>52</v>
      </c>
      <c r="I15" s="20" t="s">
        <v>53</v>
      </c>
    </row>
    <row r="19" spans="2:9" x14ac:dyDescent="0.25">
      <c r="B19" s="1" t="s">
        <v>54</v>
      </c>
      <c r="C19" s="1"/>
    </row>
    <row r="20" spans="2:9" x14ac:dyDescent="0.25">
      <c r="B20" s="4" t="s">
        <v>55</v>
      </c>
      <c r="C20" s="4" t="s">
        <v>1</v>
      </c>
      <c r="D20" s="4" t="s">
        <v>56</v>
      </c>
      <c r="E20" s="4" t="s">
        <v>57</v>
      </c>
      <c r="F20" s="4" t="s">
        <v>58</v>
      </c>
      <c r="G20" s="4" t="s">
        <v>59</v>
      </c>
      <c r="H20" s="4" t="s">
        <v>60</v>
      </c>
      <c r="I20" s="4" t="s">
        <v>61</v>
      </c>
    </row>
    <row r="21" spans="2:9" ht="39.6" x14ac:dyDescent="0.25">
      <c r="B21" s="13" t="s">
        <v>62</v>
      </c>
      <c r="C21" s="13" t="s">
        <v>63</v>
      </c>
      <c r="D21" s="13" t="s">
        <v>17</v>
      </c>
      <c r="E21" s="13" t="s">
        <v>64</v>
      </c>
      <c r="F21" s="13" t="s">
        <v>65</v>
      </c>
      <c r="G21" s="13" t="s">
        <v>66</v>
      </c>
      <c r="H21" s="13" t="s">
        <v>67</v>
      </c>
      <c r="I21" s="13" t="s">
        <v>68</v>
      </c>
    </row>
    <row r="22" spans="2:9" ht="18.75" customHeight="1" x14ac:dyDescent="0.25">
      <c r="B22" s="17" t="s">
        <v>69</v>
      </c>
      <c r="C22" s="17" t="s">
        <v>70</v>
      </c>
      <c r="D22" s="17" t="s">
        <v>71</v>
      </c>
      <c r="E22" s="17" t="s">
        <v>50</v>
      </c>
      <c r="F22" s="17" t="s">
        <v>72</v>
      </c>
      <c r="G22" s="17" t="s">
        <v>51</v>
      </c>
      <c r="H22" s="17"/>
      <c r="I22" s="17"/>
    </row>
    <row r="23" spans="2:9" x14ac:dyDescent="0.25">
      <c r="B23" s="15" t="s">
        <v>76</v>
      </c>
      <c r="C23" s="15" t="s">
        <v>74</v>
      </c>
      <c r="D23" s="16" t="s">
        <v>75</v>
      </c>
      <c r="E23" s="15" t="s">
        <v>50</v>
      </c>
      <c r="F23" s="15" t="s">
        <v>72</v>
      </c>
      <c r="G23" s="15" t="s">
        <v>51</v>
      </c>
      <c r="H23" s="15"/>
      <c r="I23" s="15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528B9A-C376-4475-9CF4-657E22993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77DA20-23E1-45D8-AF9C-F12B793516B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B5C2EBBD-EC00-405F-A12E-6B08818701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2005-06-03T09:41:13Z</dcterms:created>
  <dcterms:modified xsi:type="dcterms:W3CDTF">2025-11-25T08:23:10Z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