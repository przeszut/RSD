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_MACIEK\Uczelnia\Przedmioty\Integrated Energy Resource Planning\ELAND_02\"/>
    </mc:Choice>
  </mc:AlternateContent>
  <xr:revisionPtr revIDLastSave="0" documentId="13_ncr:1_{A26E2A42-3B2D-4B2A-91EC-577E4FA2F47A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Units" sheetId="10" r:id="rId1"/>
    <sheet name="Introduction" sheetId="11" r:id="rId2"/>
    <sheet name="RES View" sheetId="12" r:id="rId3"/>
    <sheet name="FI_Comm" sheetId="1" r:id="rId4"/>
    <sheet name="FI_Process" sheetId="2" r:id="rId5"/>
    <sheet name="Supply" sheetId="3" r:id="rId6"/>
    <sheet name="Power Plants" sheetId="8" r:id="rId7"/>
    <sheet name="GRID" sheetId="13" r:id="rId8"/>
    <sheet name="Demand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9" l="1"/>
  <c r="I17" i="9"/>
  <c r="C10" i="9"/>
  <c r="C11" i="9"/>
  <c r="C12" i="9"/>
  <c r="C13" i="9"/>
  <c r="C14" i="9"/>
  <c r="C15" i="9"/>
  <c r="C16" i="9"/>
  <c r="C17" i="9"/>
  <c r="C9" i="9"/>
  <c r="F9" i="9"/>
  <c r="H11" i="9" s="1"/>
  <c r="E6" i="13"/>
  <c r="D6" i="13"/>
  <c r="C6" i="13"/>
  <c r="B6" i="13"/>
  <c r="F25" i="9"/>
  <c r="E25" i="9"/>
  <c r="D25" i="9"/>
  <c r="C25" i="9"/>
  <c r="F11" i="8"/>
  <c r="C11" i="8"/>
  <c r="D11" i="8"/>
  <c r="E11" i="8"/>
  <c r="C11" i="3"/>
  <c r="D11" i="3"/>
  <c r="E11" i="3"/>
  <c r="D9" i="8"/>
  <c r="D10" i="8"/>
  <c r="C10" i="8"/>
  <c r="C9" i="8"/>
  <c r="F10" i="8"/>
  <c r="F9" i="8"/>
  <c r="O10" i="8"/>
  <c r="P10" i="8" s="1"/>
  <c r="O9" i="8"/>
  <c r="O12" i="8" s="1"/>
  <c r="H14" i="9" l="1"/>
  <c r="H13" i="9"/>
  <c r="H10" i="9"/>
  <c r="H17" i="9"/>
  <c r="H15" i="9"/>
  <c r="H16" i="9"/>
  <c r="P9" i="8"/>
  <c r="E10" i="8"/>
  <c r="E9" i="8"/>
  <c r="E10" i="3"/>
  <c r="E9" i="3"/>
  <c r="D9" i="3"/>
  <c r="D10" i="3"/>
  <c r="C10" i="3"/>
  <c r="C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H6" authorId="0" shapeId="0" xr:uid="{883F3F3E-52AC-4182-99FF-FF97F19B73F8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I6" authorId="1" shapeId="0" xr:uid="{AA7AB276-025A-44A9-9D78-5D089C2FB04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J6" authorId="1" shapeId="0" xr:uid="{AC852C4D-62E1-46B7-93E3-1A53D5349DED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K6" authorId="1" shapeId="0" xr:uid="{FF9B4920-14A3-4070-A1B2-78FA5C2510AD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I6" authorId="0" shapeId="0" xr:uid="{54990CEA-F4F0-45D9-9B03-80195AEAE8E9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J6" authorId="1" shapeId="0" xr:uid="{69DE8243-941B-4A16-98FE-3695051F9DBF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K6" authorId="0" shapeId="0" xr:uid="{A681C4EF-DB98-4ADB-A493-4D0D67EDAB8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D6" authorId="0" shapeId="0" xr:uid="{DC8F15DD-018B-4855-85AF-04500F13F7B0}">
      <text>
        <r>
          <rPr>
            <sz val="8"/>
            <color rgb="FF000000"/>
            <rFont val="Tahoma"/>
            <family val="2"/>
          </rPr>
          <t xml:space="preserve">With this symbol </t>
        </r>
        <r>
          <rPr>
            <b/>
            <sz val="8"/>
            <color rgb="FF000000"/>
            <rFont val="Tahoma"/>
            <family val="2"/>
            <charset val="238"/>
          </rPr>
          <t>\I:</t>
        </r>
        <r>
          <rPr>
            <sz val="8"/>
            <color rgb="FF000000"/>
            <rFont val="Tahoma"/>
            <family val="2"/>
          </rPr>
          <t>, this column is ignored from VEDA.
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D6" authorId="0" shapeId="0" xr:uid="{6E49767A-F5CB-4932-B130-15226B45B1B0}">
      <text>
        <r>
          <rPr>
            <sz val="8"/>
            <color rgb="FF000000"/>
            <rFont val="Tahoma"/>
            <family val="2"/>
          </rPr>
          <t xml:space="preserve">With this symbol </t>
        </r>
        <r>
          <rPr>
            <b/>
            <sz val="8"/>
            <color rgb="FF000000"/>
            <rFont val="Tahoma"/>
            <family val="2"/>
            <charset val="238"/>
          </rPr>
          <t>\I:</t>
        </r>
        <r>
          <rPr>
            <sz val="8"/>
            <color rgb="FF000000"/>
            <rFont val="Tahoma"/>
            <family val="2"/>
          </rPr>
          <t>, this column is ignored from VEDA.
It is just useful for your information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3" authorId="0" shapeId="0" xr:uid="{9E78AFC4-2BAE-403F-95E2-523753FAAFF4}">
      <text>
        <r>
          <rPr>
            <sz val="8"/>
            <color rgb="FF000000"/>
            <rFont val="Tahoma"/>
            <family val="2"/>
          </rPr>
          <t xml:space="preserve">With this symbol </t>
        </r>
        <r>
          <rPr>
            <b/>
            <sz val="8"/>
            <color rgb="FF000000"/>
            <rFont val="Tahoma"/>
            <family val="2"/>
            <charset val="238"/>
          </rPr>
          <t>\I:</t>
        </r>
        <r>
          <rPr>
            <sz val="8"/>
            <color rgb="FF000000"/>
            <rFont val="Tahoma"/>
            <family val="2"/>
          </rPr>
          <t>, this column is ignored from VEDA.
It is just useful for your information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D22" authorId="0" shapeId="0" xr:uid="{A71BDD28-0CE9-4974-B2FE-EBDD5AD48B4E}">
      <text>
        <r>
          <rPr>
            <sz val="8"/>
            <color rgb="FF000000"/>
            <rFont val="Tahoma"/>
            <family val="2"/>
          </rPr>
          <t xml:space="preserve">With this symbol </t>
        </r>
        <r>
          <rPr>
            <b/>
            <sz val="8"/>
            <color rgb="FF000000"/>
            <rFont val="Tahoma"/>
            <family val="2"/>
            <charset val="238"/>
          </rPr>
          <t>\I:</t>
        </r>
        <r>
          <rPr>
            <sz val="8"/>
            <color rgb="FF000000"/>
            <rFont val="Tahoma"/>
            <family val="2"/>
          </rPr>
          <t>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<sst xmlns="http://schemas.openxmlformats.org/spreadsheetml/2006/main" count="344" uniqueCount="198">
  <si>
    <t>Define Commodities</t>
  </si>
  <si>
    <t>~FI_Comm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</si>
  <si>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</si>
  <si>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</si>
  <si>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</si>
  <si>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</si>
  <si>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</si>
  <si>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</si>
  <si>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</si>
  <si>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</si>
  <si>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</si>
  <si>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</si>
  <si>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</si>
  <si>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</si>
  <si>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</si>
  <si>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NRG</t>
  </si>
  <si>
    <t>NAT_GAS</t>
  </si>
  <si>
    <t>ELC_HV</t>
  </si>
  <si>
    <t>ELC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</si>
  <si>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</si>
  <si>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</si>
  <si>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</si>
  <si>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</si>
  <si>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</si>
  <si>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</si>
  <si>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</si>
  <si>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</si>
  <si>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</si>
  <si>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</si>
  <si>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</si>
  <si>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</si>
  <si>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</si>
  <si>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</si>
  <si>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</si>
  <si>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</si>
  <si>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</si>
  <si>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</si>
  <si>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Define Processes</t>
  </si>
  <si>
    <t>MIN</t>
  </si>
  <si>
    <t>ELE</t>
  </si>
  <si>
    <t>MIN_NAT_GAS</t>
  </si>
  <si>
    <t>~FI_T</t>
  </si>
  <si>
    <t>Comm-OUT</t>
  </si>
  <si>
    <t>\I: Technology Name</t>
  </si>
  <si>
    <t>Commodity Output</t>
  </si>
  <si>
    <t>Supply</t>
  </si>
  <si>
    <t>ACT_BND</t>
  </si>
  <si>
    <t>COST</t>
  </si>
  <si>
    <t>Annual activity bound (upper by default)</t>
  </si>
  <si>
    <t>Extraction cost</t>
  </si>
  <si>
    <t>\I: Units</t>
  </si>
  <si>
    <t>MW</t>
  </si>
  <si>
    <t>Supply Natural Gas</t>
  </si>
  <si>
    <t>Natural Gas</t>
  </si>
  <si>
    <t>High Voltage Electricity</t>
  </si>
  <si>
    <t>kt</t>
  </si>
  <si>
    <t>PJ</t>
  </si>
  <si>
    <t>Fuel Oil</t>
  </si>
  <si>
    <t>Electricity Indicator</t>
  </si>
  <si>
    <t>IMP</t>
  </si>
  <si>
    <t>IMP_OIL</t>
  </si>
  <si>
    <t>Import of Fuel Oil</t>
  </si>
  <si>
    <t>PJ/a</t>
  </si>
  <si>
    <t>EX_PP_OIL</t>
  </si>
  <si>
    <t>EX_PP_NAT_GAS</t>
  </si>
  <si>
    <t>\I: Fuel supply</t>
  </si>
  <si>
    <t>\I: Power Plants</t>
  </si>
  <si>
    <t>Power Plant - Fuel Oil</t>
  </si>
  <si>
    <t>Power Plant - Natural Gas</t>
  </si>
  <si>
    <t>GW</t>
  </si>
  <si>
    <t>Currency</t>
  </si>
  <si>
    <t>Euro</t>
  </si>
  <si>
    <t>Currency unit</t>
  </si>
  <si>
    <t>Millions of Euros</t>
  </si>
  <si>
    <t>MEUR</t>
  </si>
  <si>
    <t>EUR/kW</t>
  </si>
  <si>
    <t>EUR/GJ</t>
  </si>
  <si>
    <t>MEUR/PJ</t>
  </si>
  <si>
    <t>=</t>
  </si>
  <si>
    <t>kEUR/TJ</t>
  </si>
  <si>
    <t>MEUR/GW</t>
  </si>
  <si>
    <t>kEUR/MW</t>
  </si>
  <si>
    <t>Energy</t>
  </si>
  <si>
    <t>Jouls</t>
  </si>
  <si>
    <t>Energy Unit</t>
  </si>
  <si>
    <t>Power</t>
  </si>
  <si>
    <t>Watts</t>
  </si>
  <si>
    <t>Power Unit</t>
  </si>
  <si>
    <t>TJ</t>
  </si>
  <si>
    <t>GJ</t>
  </si>
  <si>
    <t>kW</t>
  </si>
  <si>
    <t>Derived Units and Unit Multiples</t>
  </si>
  <si>
    <t>Units used in this model</t>
  </si>
  <si>
    <t>CO2 Emission</t>
  </si>
  <si>
    <t>kg</t>
  </si>
  <si>
    <t>t (tonne)</t>
  </si>
  <si>
    <t>CO2 Emission Unit</t>
  </si>
  <si>
    <t>kt/PJ</t>
  </si>
  <si>
    <t>t/TJ</t>
  </si>
  <si>
    <t>kg/GJ</t>
  </si>
  <si>
    <t>The production/consumption of energy carriers and emission quantities always refer to one year (per annum, eg. PJ/a).</t>
  </si>
  <si>
    <t>FUEL_OIL</t>
  </si>
  <si>
    <t>Comm-IN</t>
  </si>
  <si>
    <t>Input Commodity</t>
  </si>
  <si>
    <t>EFF</t>
  </si>
  <si>
    <t>STOCK</t>
  </si>
  <si>
    <t>CAP2ACT</t>
  </si>
  <si>
    <t>AFA</t>
  </si>
  <si>
    <t>VAROM</t>
  </si>
  <si>
    <t>FIXOM</t>
  </si>
  <si>
    <t>Installed Capacity</t>
  </si>
  <si>
    <t>Capacity to Activity Unit Conversion</t>
  </si>
  <si>
    <t>Process Efficiency</t>
  </si>
  <si>
    <t xml:space="preserve">Annual Availability Factor </t>
  </si>
  <si>
    <t>Variable Costs</t>
  </si>
  <si>
    <t>Fixed Costs</t>
  </si>
  <si>
    <t>Power Plants</t>
  </si>
  <si>
    <t>Demand</t>
  </si>
  <si>
    <t>Attribute</t>
  </si>
  <si>
    <t>\I: Demand Commodity Name</t>
  </si>
  <si>
    <t>Demand Value</t>
  </si>
  <si>
    <t>COM_PROJ</t>
  </si>
  <si>
    <t>%/100</t>
  </si>
  <si>
    <t>Thus, 8760 GWh of energy can be produced in 1 year from 1 GW</t>
  </si>
  <si>
    <t>1 GW of power operating year-round would produce</t>
  </si>
  <si>
    <t>of energy.</t>
  </si>
  <si>
    <t>which, after conversion, gives</t>
  </si>
  <si>
    <t>Why CAP2ACT = 31.536?</t>
  </si>
  <si>
    <t>Back of the envelope calculations</t>
  </si>
  <si>
    <t>Maximum electricity production</t>
  </si>
  <si>
    <t>PJ/y</t>
  </si>
  <si>
    <t>PJ/y/GW</t>
  </si>
  <si>
    <t>Maximum fuel consumption</t>
  </si>
  <si>
    <t>ELAND 01</t>
  </si>
  <si>
    <t>Available CSets</t>
  </si>
  <si>
    <t>CSets</t>
  </si>
  <si>
    <t>\I: TechDesc</t>
  </si>
  <si>
    <t>ENV</t>
  </si>
  <si>
    <t>DEM</t>
  </si>
  <si>
    <t>Energy Carrier</t>
  </si>
  <si>
    <t>CSet</t>
  </si>
  <si>
    <t>Description</t>
  </si>
  <si>
    <t>Environmental</t>
  </si>
  <si>
    <t>Demand Commodity</t>
  </si>
  <si>
    <t>MAT</t>
  </si>
  <si>
    <t>FIN</t>
  </si>
  <si>
    <t>Material</t>
  </si>
  <si>
    <t>Financial</t>
  </si>
  <si>
    <t xml:space="preserve">ELE </t>
  </si>
  <si>
    <t xml:space="preserve">CHP </t>
  </si>
  <si>
    <t xml:space="preserve">PRE </t>
  </si>
  <si>
    <t xml:space="preserve">DMD </t>
  </si>
  <si>
    <t xml:space="preserve">IMP </t>
  </si>
  <si>
    <t xml:space="preserve">EXP </t>
  </si>
  <si>
    <t xml:space="preserve">MIN </t>
  </si>
  <si>
    <t xml:space="preserve">HPL </t>
  </si>
  <si>
    <t>Combined Heat and Power</t>
  </si>
  <si>
    <t>STG</t>
  </si>
  <si>
    <t>Genric Process/Technology</t>
  </si>
  <si>
    <t>Demand Device</t>
  </si>
  <si>
    <t>Import</t>
  </si>
  <si>
    <t>Export</t>
  </si>
  <si>
    <t>Mining Process</t>
  </si>
  <si>
    <t>Heating Plant</t>
  </si>
  <si>
    <t>Electric Power Plant</t>
  </si>
  <si>
    <t>Storage</t>
  </si>
  <si>
    <t>Available Sets</t>
  </si>
  <si>
    <t>Set</t>
  </si>
  <si>
    <t>ELC_LV</t>
  </si>
  <si>
    <t>ELC_FIN</t>
  </si>
  <si>
    <t>Low Voltage</t>
  </si>
  <si>
    <t>Final demand</t>
  </si>
  <si>
    <t>EX_PP_WIND</t>
  </si>
  <si>
    <t>Power Plant - Wind Tuebine</t>
  </si>
  <si>
    <t>MIN_WIND_ON</t>
  </si>
  <si>
    <t>Supply Wind Onshore</t>
  </si>
  <si>
    <t>WIND_ON</t>
  </si>
  <si>
    <t>Wind Onshore</t>
  </si>
  <si>
    <t>\I:</t>
  </si>
  <si>
    <t>Demand process</t>
  </si>
  <si>
    <t>DMD</t>
  </si>
  <si>
    <t>DMD_FIN_ELC</t>
  </si>
  <si>
    <t>Final electricity demand</t>
  </si>
  <si>
    <t>PRE</t>
  </si>
  <si>
    <t>EX_ELC_GRID</t>
  </si>
  <si>
    <t>Existing Grid</t>
  </si>
  <si>
    <t>SEASON</t>
  </si>
  <si>
    <t>DAYNITE</t>
  </si>
  <si>
    <t>COM_FR</t>
  </si>
  <si>
    <t>TimeSlice</t>
  </si>
  <si>
    <t>S1W1D1</t>
  </si>
  <si>
    <t>S1W1D2</t>
  </si>
  <si>
    <t>S1W2D1</t>
  </si>
  <si>
    <t>S1W2D2</t>
  </si>
  <si>
    <t>S2W1D1</t>
  </si>
  <si>
    <t>S2W1D2</t>
  </si>
  <si>
    <t>S2W2D1</t>
  </si>
  <si>
    <t>S2W2D2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</si>
</sst>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22" x14ac:knownFonts="1">
    <font>
      <sz val="11"/>
      <color theme="1"/>
      <name val="Calibri"/>
      <family val="2"/>
      <scheme val="minor"/>
    </font>
    <font>
      <sz val="14"/>
      <color indexed="9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2"/>
      <color rgb="FF0000FF"/>
      <name val="Arial"/>
      <family val="2"/>
      <charset val="238"/>
    </font>
    <font>
      <b/>
      <sz val="12"/>
      <color indexed="9"/>
      <name val="Arial"/>
      <family val="2"/>
      <charset val="238"/>
    </font>
    <font>
      <sz val="12"/>
      <color indexed="9"/>
      <name val="Arial"/>
      <family val="2"/>
      <charset val="238"/>
    </font>
    <font>
      <b/>
      <sz val="8"/>
      <name val="Arial"/>
      <family val="2"/>
    </font>
    <font>
      <sz val="8"/>
      <name val="Arial"/>
      <family val="2"/>
    </font>
    <font>
      <sz val="8"/>
      <color rgb="FF000000"/>
      <name val="Tahoma"/>
      <family val="2"/>
    </font>
    <font>
      <sz val="8"/>
      <name val="Calibri"/>
      <family val="2"/>
      <scheme val="minor"/>
    </font>
    <font>
      <sz val="10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8"/>
      <color rgb="FF000000"/>
      <name val="Tahoma"/>
      <family val="2"/>
      <charset val="238"/>
    </font>
    <font>
      <i/>
      <sz val="10"/>
      <color rgb="FF000000"/>
      <name val="Arial"/>
      <family val="2"/>
      <charset val="238"/>
    </font>
  </fonts>
  <fills count="10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6DBF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thin">
        <color indexed="64"/>
      </bottom>
      <diagonal/>
    </border>
    <border>
      <left style="hair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hair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medium">
        <color indexed="64"/>
      </right>
      <top/>
      <bottom style="thick">
        <color rgb="FF000000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16" fillId="0" borderId="0"/>
  </cellStyleXfs>
  <cellXfs count="117">
    <xf numFmtId="0" fontId="0" fillId="0" borderId="0" xfId="0"/>
    <xf numFmtId="0" fontId="1" fillId="2" borderId="0" xfId="0" quotePrefix="1" applyFont="1" applyFill="1"/>
    <xf numFmtId="0" fontId="2" fillId="2" borderId="0" xfId="0" applyFont="1" applyFill="1"/>
    <xf numFmtId="164" fontId="3" fillId="0" borderId="0" xfId="0" applyNumberFormat="1" applyFont="1"/>
    <xf numFmtId="0" fontId="10" fillId="2" borderId="0" xfId="0" quotePrefix="1" applyFont="1" applyFill="1" applyAlignment="1">
      <alignment horizontal="left"/>
    </xf>
    <xf numFmtId="0" fontId="11" fillId="2" borderId="0" xfId="0" quotePrefix="1" applyFont="1" applyFill="1" applyAlignment="1">
      <alignment horizontal="left"/>
    </xf>
    <xf numFmtId="0" fontId="4" fillId="0" borderId="0" xfId="0" applyFont="1"/>
    <xf numFmtId="0" fontId="0" fillId="0" borderId="0" xfId="0" quotePrefix="1" applyAlignment="1">
      <alignment horizontal="center" vertical="center"/>
    </xf>
    <xf numFmtId="3" fontId="0" fillId="0" borderId="0" xfId="0" applyNumberFormat="1"/>
    <xf numFmtId="0" fontId="17" fillId="0" borderId="0" xfId="0" applyFont="1"/>
    <xf numFmtId="164" fontId="18" fillId="5" borderId="0" xfId="1" applyNumberFormat="1" applyFont="1" applyFill="1" applyAlignment="1">
      <alignment horizontal="center" vertical="center" wrapText="1"/>
    </xf>
    <xf numFmtId="164" fontId="19" fillId="4" borderId="2" xfId="0" applyNumberFormat="1" applyFont="1" applyFill="1" applyBorder="1" applyAlignment="1">
      <alignment horizontal="center" vertical="center" wrapText="1"/>
    </xf>
    <xf numFmtId="164" fontId="18" fillId="5" borderId="2" xfId="1" applyNumberFormat="1" applyFont="1" applyFill="1" applyBorder="1" applyAlignment="1">
      <alignment horizontal="center" vertical="center" wrapText="1"/>
    </xf>
    <xf numFmtId="0" fontId="18" fillId="7" borderId="4" xfId="0" applyFont="1" applyFill="1" applyBorder="1"/>
    <xf numFmtId="0" fontId="18" fillId="3" borderId="7" xfId="0" applyFont="1" applyFill="1" applyBorder="1"/>
    <xf numFmtId="0" fontId="18" fillId="6" borderId="7" xfId="0" applyFont="1" applyFill="1" applyBorder="1"/>
    <xf numFmtId="164" fontId="19" fillId="4" borderId="6" xfId="0" applyNumberFormat="1" applyFont="1" applyFill="1" applyBorder="1" applyAlignment="1">
      <alignment horizontal="center" vertical="center" wrapText="1"/>
    </xf>
    <xf numFmtId="0" fontId="0" fillId="8" borderId="9" xfId="0" applyFill="1" applyBorder="1"/>
    <xf numFmtId="0" fontId="0" fillId="8" borderId="11" xfId="0" applyFill="1" applyBorder="1"/>
    <xf numFmtId="0" fontId="0" fillId="8" borderId="13" xfId="0" applyFill="1" applyBorder="1"/>
    <xf numFmtId="0" fontId="0" fillId="8" borderId="3" xfId="0" applyFill="1" applyBorder="1"/>
    <xf numFmtId="0" fontId="0" fillId="8" borderId="14" xfId="0" applyFill="1" applyBorder="1"/>
    <xf numFmtId="0" fontId="0" fillId="8" borderId="10" xfId="0" applyFill="1" applyBorder="1"/>
    <xf numFmtId="0" fontId="0" fillId="8" borderId="12" xfId="0" applyFill="1" applyBorder="1"/>
    <xf numFmtId="164" fontId="4" fillId="8" borderId="1" xfId="0" applyNumberFormat="1" applyFont="1" applyFill="1" applyBorder="1"/>
    <xf numFmtId="164" fontId="3" fillId="8" borderId="1" xfId="0" applyNumberFormat="1" applyFont="1" applyFill="1" applyBorder="1"/>
    <xf numFmtId="0" fontId="0" fillId="8" borderId="1" xfId="0" applyFill="1" applyBorder="1"/>
    <xf numFmtId="164" fontId="9" fillId="3" borderId="9" xfId="0" applyNumberFormat="1" applyFont="1" applyFill="1" applyBorder="1"/>
    <xf numFmtId="164" fontId="9" fillId="3" borderId="1" xfId="0" applyNumberFormat="1" applyFont="1" applyFill="1" applyBorder="1"/>
    <xf numFmtId="164" fontId="9" fillId="3" borderId="10" xfId="0" applyNumberFormat="1" applyFont="1" applyFill="1" applyBorder="1"/>
    <xf numFmtId="164" fontId="19" fillId="4" borderId="15" xfId="0" applyNumberFormat="1" applyFont="1" applyFill="1" applyBorder="1" applyAlignment="1">
      <alignment horizontal="center" vertical="center" wrapText="1"/>
    </xf>
    <xf numFmtId="164" fontId="19" fillId="4" borderId="16" xfId="0" applyNumberFormat="1" applyFont="1" applyFill="1" applyBorder="1" applyAlignment="1">
      <alignment horizontal="center" vertical="center" wrapText="1"/>
    </xf>
    <xf numFmtId="0" fontId="18" fillId="3" borderId="19" xfId="0" applyFont="1" applyFill="1" applyBorder="1"/>
    <xf numFmtId="0" fontId="18" fillId="3" borderId="20" xfId="0" applyFont="1" applyFill="1" applyBorder="1"/>
    <xf numFmtId="0" fontId="18" fillId="6" borderId="19" xfId="0" applyFont="1" applyFill="1" applyBorder="1"/>
    <xf numFmtId="0" fontId="18" fillId="6" borderId="20" xfId="0" applyFont="1" applyFill="1" applyBorder="1"/>
    <xf numFmtId="0" fontId="9" fillId="3" borderId="9" xfId="0" applyFont="1" applyFill="1" applyBorder="1"/>
    <xf numFmtId="0" fontId="9" fillId="3" borderId="1" xfId="0" applyFont="1" applyFill="1" applyBorder="1"/>
    <xf numFmtId="0" fontId="9" fillId="3" borderId="10" xfId="0" applyFont="1" applyFill="1" applyBorder="1"/>
    <xf numFmtId="0" fontId="9" fillId="3" borderId="1" xfId="2" applyFont="1" applyFill="1" applyBorder="1" applyAlignment="1">
      <alignment horizontal="left"/>
    </xf>
    <xf numFmtId="164" fontId="19" fillId="4" borderId="21" xfId="0" applyNumberFormat="1" applyFont="1" applyFill="1" applyBorder="1" applyAlignment="1">
      <alignment horizontal="center" vertical="center" wrapText="1"/>
    </xf>
    <xf numFmtId="164" fontId="19" fillId="4" borderId="22" xfId="0" applyNumberFormat="1" applyFont="1" applyFill="1" applyBorder="1" applyAlignment="1">
      <alignment horizontal="center" vertical="center" wrapText="1"/>
    </xf>
    <xf numFmtId="164" fontId="18" fillId="5" borderId="21" xfId="1" applyNumberFormat="1" applyFont="1" applyFill="1" applyBorder="1" applyAlignment="1">
      <alignment horizontal="center" vertical="center" wrapText="1"/>
    </xf>
    <xf numFmtId="164" fontId="18" fillId="5" borderId="22" xfId="1" applyNumberFormat="1" applyFont="1" applyFill="1" applyBorder="1" applyAlignment="1">
      <alignment horizontal="center" vertical="center" wrapText="1"/>
    </xf>
    <xf numFmtId="0" fontId="18" fillId="3" borderId="11" xfId="0" applyFont="1" applyFill="1" applyBorder="1"/>
    <xf numFmtId="0" fontId="18" fillId="3" borderId="12" xfId="0" applyFont="1" applyFill="1" applyBorder="1"/>
    <xf numFmtId="0" fontId="12" fillId="8" borderId="1" xfId="0" applyFont="1" applyFill="1" applyBorder="1"/>
    <xf numFmtId="0" fontId="13" fillId="8" borderId="1" xfId="0" applyFont="1" applyFill="1" applyBorder="1" applyAlignment="1">
      <alignment horizontal="left" wrapText="1"/>
    </xf>
    <xf numFmtId="0" fontId="4" fillId="8" borderId="1" xfId="0" applyFont="1" applyFill="1" applyBorder="1"/>
    <xf numFmtId="0" fontId="18" fillId="7" borderId="23" xfId="0" applyFont="1" applyFill="1" applyBorder="1"/>
    <xf numFmtId="0" fontId="18" fillId="7" borderId="24" xfId="0" applyFont="1" applyFill="1" applyBorder="1"/>
    <xf numFmtId="2" fontId="0" fillId="0" borderId="0" xfId="0" applyNumberFormat="1"/>
    <xf numFmtId="0" fontId="18" fillId="7" borderId="0" xfId="0" applyFont="1" applyFill="1"/>
    <xf numFmtId="0" fontId="19" fillId="4" borderId="22" xfId="0" applyFont="1" applyFill="1" applyBorder="1" applyAlignment="1">
      <alignment horizontal="center" vertical="center" wrapText="1"/>
    </xf>
    <xf numFmtId="0" fontId="19" fillId="4" borderId="21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9" fillId="3" borderId="9" xfId="2" applyFont="1" applyFill="1" applyBorder="1" applyAlignment="1">
      <alignment horizontal="left"/>
    </xf>
    <xf numFmtId="2" fontId="0" fillId="0" borderId="25" xfId="0" applyNumberFormat="1" applyBorder="1"/>
    <xf numFmtId="2" fontId="17" fillId="0" borderId="0" xfId="0" applyNumberFormat="1" applyFont="1"/>
    <xf numFmtId="0" fontId="0" fillId="3" borderId="0" xfId="0" applyFill="1"/>
    <xf numFmtId="0" fontId="0" fillId="6" borderId="0" xfId="0" applyFill="1"/>
    <xf numFmtId="0" fontId="0" fillId="3" borderId="27" xfId="0" applyFill="1" applyBorder="1"/>
    <xf numFmtId="164" fontId="19" fillId="4" borderId="28" xfId="0" applyNumberFormat="1" applyFont="1" applyFill="1" applyBorder="1" applyAlignment="1">
      <alignment horizontal="center" vertical="center" wrapText="1"/>
    </xf>
    <xf numFmtId="0" fontId="0" fillId="3" borderId="31" xfId="0" applyFill="1" applyBorder="1"/>
    <xf numFmtId="0" fontId="18" fillId="6" borderId="11" xfId="0" applyFont="1" applyFill="1" applyBorder="1"/>
    <xf numFmtId="0" fontId="18" fillId="6" borderId="12" xfId="0" applyFont="1" applyFill="1" applyBorder="1"/>
    <xf numFmtId="0" fontId="0" fillId="9" borderId="32" xfId="0" applyFill="1" applyBorder="1"/>
    <xf numFmtId="9" fontId="0" fillId="0" borderId="0" xfId="0" applyNumberFormat="1"/>
    <xf numFmtId="0" fontId="18" fillId="3" borderId="0" xfId="0" applyFont="1" applyFill="1"/>
    <xf numFmtId="9" fontId="18" fillId="3" borderId="0" xfId="0" applyNumberFormat="1" applyFont="1" applyFill="1"/>
    <xf numFmtId="0" fontId="9" fillId="3" borderId="12" xfId="0" applyFont="1" applyFill="1" applyBorder="1"/>
    <xf numFmtId="0" fontId="21" fillId="5" borderId="21" xfId="1" applyFont="1" applyFill="1" applyBorder="1" applyAlignment="1">
      <alignment horizontal="center" vertical="center" wrapText="1"/>
    </xf>
    <xf numFmtId="0" fontId="21" fillId="5" borderId="2" xfId="1" applyFont="1" applyFill="1" applyBorder="1" applyAlignment="1">
      <alignment horizontal="center" vertical="center" wrapText="1"/>
    </xf>
    <xf numFmtId="0" fontId="21" fillId="5" borderId="22" xfId="1" applyFont="1" applyFill="1" applyBorder="1" applyAlignment="1">
      <alignment horizontal="center" vertical="center" wrapText="1"/>
    </xf>
    <xf numFmtId="0" fontId="21" fillId="7" borderId="23" xfId="1" applyFont="1" applyFill="1" applyBorder="1" applyAlignment="1">
      <alignment horizontal="center" vertical="center" wrapText="1"/>
    </xf>
    <xf numFmtId="0" fontId="21" fillId="7" borderId="4" xfId="1" applyFont="1" applyFill="1" applyBorder="1" applyAlignment="1">
      <alignment horizontal="center" vertical="center" wrapText="1"/>
    </xf>
    <xf numFmtId="0" fontId="21" fillId="7" borderId="24" xfId="1" applyFont="1" applyFill="1" applyBorder="1" applyAlignment="1">
      <alignment horizontal="center" vertical="center" wrapText="1"/>
    </xf>
    <xf numFmtId="0" fontId="18" fillId="6" borderId="0" xfId="0" applyFont="1" applyFill="1"/>
    <xf numFmtId="9" fontId="18" fillId="6" borderId="0" xfId="0" applyNumberFormat="1" applyFont="1" applyFill="1"/>
    <xf numFmtId="0" fontId="18" fillId="3" borderId="35" xfId="0" applyFont="1" applyFill="1" applyBorder="1"/>
    <xf numFmtId="0" fontId="18" fillId="3" borderId="36" xfId="0" applyFont="1" applyFill="1" applyBorder="1"/>
    <xf numFmtId="9" fontId="18" fillId="3" borderId="36" xfId="0" applyNumberFormat="1" applyFont="1" applyFill="1" applyBorder="1"/>
    <xf numFmtId="164" fontId="21" fillId="7" borderId="23" xfId="1" applyNumberFormat="1" applyFont="1" applyFill="1" applyBorder="1" applyAlignment="1">
      <alignment horizontal="center" vertical="center" wrapText="1"/>
    </xf>
    <xf numFmtId="164" fontId="21" fillId="7" borderId="4" xfId="1" applyNumberFormat="1" applyFont="1" applyFill="1" applyBorder="1" applyAlignment="1">
      <alignment horizontal="center" vertical="center" wrapText="1"/>
    </xf>
    <xf numFmtId="164" fontId="21" fillId="7" borderId="24" xfId="1" applyNumberFormat="1" applyFont="1" applyFill="1" applyBorder="1" applyAlignment="1">
      <alignment horizontal="center" vertical="center" wrapText="1"/>
    </xf>
    <xf numFmtId="0" fontId="21" fillId="7" borderId="34" xfId="0" applyFont="1" applyFill="1" applyBorder="1"/>
    <xf numFmtId="0" fontId="21" fillId="7" borderId="23" xfId="0" applyFont="1" applyFill="1" applyBorder="1"/>
    <xf numFmtId="0" fontId="21" fillId="7" borderId="4" xfId="0" applyFont="1" applyFill="1" applyBorder="1"/>
    <xf numFmtId="0" fontId="21" fillId="7" borderId="24" xfId="0" applyFont="1" applyFill="1" applyBorder="1"/>
    <xf numFmtId="0" fontId="18" fillId="3" borderId="37" xfId="0" applyFont="1" applyFill="1" applyBorder="1"/>
    <xf numFmtId="0" fontId="9" fillId="3" borderId="0" xfId="0" applyFont="1" applyFill="1"/>
    <xf numFmtId="0" fontId="21" fillId="5" borderId="2" xfId="0" applyFont="1" applyFill="1" applyBorder="1"/>
    <xf numFmtId="0" fontId="21" fillId="5" borderId="33" xfId="0" applyFont="1" applyFill="1" applyBorder="1"/>
    <xf numFmtId="164" fontId="21" fillId="5" borderId="21" xfId="1" applyNumberFormat="1" applyFont="1" applyFill="1" applyBorder="1" applyAlignment="1">
      <alignment horizontal="center" vertical="center" wrapText="1"/>
    </xf>
    <xf numFmtId="164" fontId="21" fillId="5" borderId="2" xfId="1" applyNumberFormat="1" applyFont="1" applyFill="1" applyBorder="1" applyAlignment="1">
      <alignment horizontal="center" vertical="center" wrapText="1"/>
    </xf>
    <xf numFmtId="164" fontId="21" fillId="5" borderId="22" xfId="1" applyNumberFormat="1" applyFont="1" applyFill="1" applyBorder="1" applyAlignment="1">
      <alignment horizontal="center" vertical="center" wrapText="1"/>
    </xf>
    <xf numFmtId="0" fontId="18" fillId="3" borderId="38" xfId="0" applyFont="1" applyFill="1" applyBorder="1"/>
    <xf numFmtId="164" fontId="21" fillId="5" borderId="15" xfId="1" applyNumberFormat="1" applyFont="1" applyFill="1" applyBorder="1" applyAlignment="1">
      <alignment horizontal="center" vertical="center" wrapText="1"/>
    </xf>
    <xf numFmtId="164" fontId="21" fillId="5" borderId="6" xfId="1" applyNumberFormat="1" applyFont="1" applyFill="1" applyBorder="1" applyAlignment="1">
      <alignment horizontal="center" vertical="center" wrapText="1"/>
    </xf>
    <xf numFmtId="164" fontId="21" fillId="5" borderId="16" xfId="1" applyNumberFormat="1" applyFont="1" applyFill="1" applyBorder="1" applyAlignment="1">
      <alignment horizontal="center" vertical="center" wrapText="1"/>
    </xf>
    <xf numFmtId="0" fontId="21" fillId="7" borderId="17" xfId="0" applyFont="1" applyFill="1" applyBorder="1"/>
    <xf numFmtId="0" fontId="21" fillId="7" borderId="8" xfId="0" applyFont="1" applyFill="1" applyBorder="1"/>
    <xf numFmtId="0" fontId="21" fillId="7" borderId="18" xfId="0" applyFont="1" applyFill="1" applyBorder="1"/>
    <xf numFmtId="0" fontId="18" fillId="6" borderId="36" xfId="0" applyFont="1" applyFill="1" applyBorder="1"/>
    <xf numFmtId="0" fontId="17" fillId="0" borderId="0" xfId="0" applyFont="1" applyAlignment="1">
      <alignment horizontal="center"/>
    </xf>
    <xf numFmtId="0" fontId="1" fillId="2" borderId="0" xfId="0" quotePrefix="1" applyFont="1" applyFill="1" applyAlignment="1">
      <alignment horizontal="center"/>
    </xf>
    <xf numFmtId="164" fontId="19" fillId="4" borderId="29" xfId="0" applyNumberFormat="1" applyFont="1" applyFill="1" applyBorder="1" applyAlignment="1">
      <alignment horizontal="center" vertical="center" wrapText="1"/>
    </xf>
    <xf numFmtId="164" fontId="19" fillId="4" borderId="30" xfId="0" applyNumberFormat="1" applyFont="1" applyFill="1" applyBorder="1" applyAlignment="1">
      <alignment horizontal="center" vertical="center" wrapText="1"/>
    </xf>
    <xf numFmtId="0" fontId="0" fillId="3" borderId="27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27" xfId="0" applyFill="1" applyBorder="1" applyAlignment="1">
      <alignment horizontal="center"/>
    </xf>
    <xf numFmtId="164" fontId="19" fillId="4" borderId="26" xfId="0" applyNumberFormat="1" applyFont="1" applyFill="1" applyBorder="1" applyAlignment="1">
      <alignment horizontal="center" vertical="center" wrapText="1"/>
    </xf>
    <xf numFmtId="164" fontId="19" fillId="4" borderId="5" xfId="0" applyNumberFormat="1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31" xfId="0" applyFill="1" applyBorder="1" applyAlignment="1">
      <alignment horizontal="center"/>
    </xf>
  </cellXfs>
  <cellStyles count="4">
    <cellStyle name="Normal" xfId="0" builtinId="0"/>
    <cellStyle name="Normal 10" xfId="1" xr:uid="{8AA69BA5-D233-441B-9028-16280C6B1AA6}"/>
    <cellStyle name="Normal 39 2 2" xfId="3" xr:uid="{3239FB62-2CA0-4815-BEFB-A7203B672581}"/>
    <cellStyle name="Normal 4" xfId="2" xr:uid="{137A5599-82BA-4049-805F-5468140AB0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4</xdr:row>
      <xdr:rowOff>15240</xdr:rowOff>
    </xdr:from>
    <xdr:to>
      <xdr:col>12</xdr:col>
      <xdr:colOff>152400</xdr:colOff>
      <xdr:row>17</xdr:row>
      <xdr:rowOff>160972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665B82F7-18FF-16D2-A931-F73F8CA6E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" y="746760"/>
          <a:ext cx="6850380" cy="252317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19</xdr:row>
      <xdr:rowOff>7620</xdr:rowOff>
    </xdr:from>
    <xdr:to>
      <xdr:col>10</xdr:col>
      <xdr:colOff>237018</xdr:colOff>
      <xdr:row>38</xdr:row>
      <xdr:rowOff>86221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45B34A64-DC08-B513-CBD4-63A011CA7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7220" y="3482340"/>
          <a:ext cx="5715798" cy="35533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2933</xdr:colOff>
      <xdr:row>18</xdr:row>
      <xdr:rowOff>99645</xdr:rowOff>
    </xdr:from>
    <xdr:ext cx="1989584" cy="3503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pole tekstowe 1">
              <a:extLst>
                <a:ext uri="{FF2B5EF4-FFF2-40B4-BE49-F238E27FC236}">
                  <a16:creationId xmlns:a16="http://schemas.microsoft.com/office/drawing/2014/main" id="{80CA36CD-760E-A26D-3AA8-30C903E25282}"/>
                </a:ext>
              </a:extLst>
            </xdr:cNvPr>
            <xdr:cNvSpPr txBox="1"/>
          </xdr:nvSpPr>
          <xdr:spPr>
            <a:xfrm>
              <a:off x="612533" y="3569676"/>
              <a:ext cx="1989584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1 </m:t>
                    </m:r>
                    <m:r>
                      <a:rPr lang="pl-PL" sz="1100" b="0" i="1">
                        <a:latin typeface="Cambria Math" panose="02040503050406030204" pitchFamily="18" charset="0"/>
                      </a:rPr>
                      <m:t>𝐺𝑊</m:t>
                    </m:r>
                    <m:r>
                      <a:rPr lang="pl-PL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×8760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𝑦𝑒𝑎𝑟</m:t>
                        </m:r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=8760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𝐺𝑊h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𝑦𝑒𝑎𝑟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" name="pole tekstowe 1">
              <a:extLst>
                <a:ext uri="{FF2B5EF4-FFF2-40B4-BE49-F238E27FC236}">
                  <a16:creationId xmlns:a16="http://schemas.microsoft.com/office/drawing/2014/main" id="{80CA36CD-760E-A26D-3AA8-30C903E25282}"/>
                </a:ext>
              </a:extLst>
            </xdr:cNvPr>
            <xdr:cNvSpPr txBox="1"/>
          </xdr:nvSpPr>
          <xdr:spPr>
            <a:xfrm>
              <a:off x="612533" y="3569676"/>
              <a:ext cx="1989584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1 𝐺𝑊</a:t>
              </a:r>
              <a:r>
                <a:rPr lang="pl-PL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×8760 ℎ/𝑦𝑒𝑎𝑟=8760 𝐺𝑊ℎ/𝑦𝑒𝑎𝑟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</xdr:col>
      <xdr:colOff>600808</xdr:colOff>
      <xdr:row>22</xdr:row>
      <xdr:rowOff>87922</xdr:rowOff>
    </xdr:from>
    <xdr:ext cx="3601692" cy="3503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0136188B-620E-B1A7-2E89-612DFC6481A4}"/>
                </a:ext>
              </a:extLst>
            </xdr:cNvPr>
            <xdr:cNvSpPr txBox="1"/>
          </xdr:nvSpPr>
          <xdr:spPr>
            <a:xfrm>
              <a:off x="600808" y="4636476"/>
              <a:ext cx="3601692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8760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𝐺𝑊h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𝑦𝑒𝑎𝑟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𝐺𝑊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3,6 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𝑇𝐽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1 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𝐺𝑊h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×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1 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𝑃𝐽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1000 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𝑇𝐽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=31,536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𝑃𝐽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𝑦𝑒𝑎𝑟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×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𝐺𝑊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0136188B-620E-B1A7-2E89-612DFC6481A4}"/>
                </a:ext>
              </a:extLst>
            </xdr:cNvPr>
            <xdr:cNvSpPr txBox="1"/>
          </xdr:nvSpPr>
          <xdr:spPr>
            <a:xfrm>
              <a:off x="600808" y="4636476"/>
              <a:ext cx="3601692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8760 𝐺𝑊ℎ/(𝑦𝑒𝑎𝑟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×𝐺𝑊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)×(3,6 𝑇𝐽)/(1 𝐺𝑊ℎ)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×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(1 𝑃𝐽)/(1000 𝑇𝐽)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=31,536 𝑃𝐽/(𝑦𝑒𝑎𝑟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×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𝐺𝑊)</a:t>
              </a:r>
              <a:endParaRPr lang="en-GB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17804-2E85-47EE-BA5B-568C5E98E06A}">
  <dimension ref="B2:M17"/>
  <sheetViews>
    <sheetView workbookViewId="0"/>
  </sheetViews>
  <sheetFormatPr defaultRowHeight="15" x14ac:dyDescent="0.25"/>
  <cols>
    <col min="2" max="2" width="19.140625" customWidth="1"/>
    <col min="3" max="3" width="15.42578125" customWidth="1"/>
    <col min="6" max="6" width="4.7109375" bestFit="1" customWidth="1"/>
    <col min="7" max="7" width="9.28515625" bestFit="1" customWidth="1"/>
    <col min="8" max="8" width="1.7109375" bestFit="1" customWidth="1"/>
    <col min="9" max="9" width="5.28515625" bestFit="1" customWidth="1"/>
    <col min="10" max="10" width="9" bestFit="1" customWidth="1"/>
    <col min="11" max="11" width="1.7109375" bestFit="1" customWidth="1"/>
    <col min="12" max="12" width="8.7109375" bestFit="1" customWidth="1"/>
    <col min="13" max="13" width="7.28515625" bestFit="1" customWidth="1"/>
  </cols>
  <sheetData>
    <row r="2" spans="2:13" x14ac:dyDescent="0.25">
      <c r="B2" s="9" t="s">
        <v>92</v>
      </c>
      <c r="F2" s="104" t="s">
        <v>91</v>
      </c>
      <c r="G2" s="104"/>
      <c r="H2" s="104"/>
      <c r="I2" s="104"/>
      <c r="J2" s="104"/>
      <c r="K2" s="104"/>
      <c r="L2" s="104"/>
      <c r="M2" s="104"/>
    </row>
    <row r="3" spans="2:13" x14ac:dyDescent="0.25">
      <c r="F3" s="9"/>
    </row>
    <row r="4" spans="2:13" x14ac:dyDescent="0.25">
      <c r="B4" t="s">
        <v>70</v>
      </c>
      <c r="C4" t="s">
        <v>71</v>
      </c>
    </row>
    <row r="5" spans="2:13" x14ac:dyDescent="0.25">
      <c r="B5" t="s">
        <v>72</v>
      </c>
      <c r="C5" t="s">
        <v>73</v>
      </c>
      <c r="D5" t="s">
        <v>74</v>
      </c>
      <c r="F5">
        <v>1</v>
      </c>
      <c r="G5" t="s">
        <v>77</v>
      </c>
      <c r="H5" s="7" t="s">
        <v>78</v>
      </c>
      <c r="I5" s="7">
        <v>1</v>
      </c>
      <c r="J5" t="s">
        <v>79</v>
      </c>
      <c r="K5" s="7" t="s">
        <v>78</v>
      </c>
      <c r="L5" s="7">
        <v>1</v>
      </c>
      <c r="M5" t="s">
        <v>76</v>
      </c>
    </row>
    <row r="6" spans="2:13" x14ac:dyDescent="0.25">
      <c r="F6">
        <v>1</v>
      </c>
      <c r="G6" t="s">
        <v>80</v>
      </c>
      <c r="H6" s="7" t="s">
        <v>78</v>
      </c>
      <c r="I6" s="7">
        <v>1</v>
      </c>
      <c r="J6" t="s">
        <v>81</v>
      </c>
      <c r="K6" s="7" t="s">
        <v>78</v>
      </c>
      <c r="L6" s="7">
        <v>1</v>
      </c>
      <c r="M6" t="s">
        <v>75</v>
      </c>
    </row>
    <row r="8" spans="2:13" x14ac:dyDescent="0.25">
      <c r="B8" t="s">
        <v>82</v>
      </c>
      <c r="C8" t="s">
        <v>83</v>
      </c>
    </row>
    <row r="9" spans="2:13" x14ac:dyDescent="0.25">
      <c r="B9" t="s">
        <v>84</v>
      </c>
      <c r="C9" t="s">
        <v>56</v>
      </c>
      <c r="F9">
        <v>1</v>
      </c>
      <c r="G9" t="s">
        <v>56</v>
      </c>
      <c r="H9" s="7" t="s">
        <v>78</v>
      </c>
      <c r="I9" s="8">
        <v>1000</v>
      </c>
      <c r="J9" t="s">
        <v>88</v>
      </c>
      <c r="K9" s="7" t="s">
        <v>78</v>
      </c>
      <c r="L9" s="8">
        <v>1000000</v>
      </c>
      <c r="M9" t="s">
        <v>89</v>
      </c>
    </row>
    <row r="11" spans="2:13" x14ac:dyDescent="0.25">
      <c r="B11" t="s">
        <v>85</v>
      </c>
      <c r="C11" t="s">
        <v>86</v>
      </c>
    </row>
    <row r="12" spans="2:13" x14ac:dyDescent="0.25">
      <c r="B12" t="s">
        <v>87</v>
      </c>
      <c r="C12" t="s">
        <v>69</v>
      </c>
      <c r="F12">
        <v>1</v>
      </c>
      <c r="G12" t="s">
        <v>69</v>
      </c>
      <c r="H12" s="7" t="s">
        <v>78</v>
      </c>
      <c r="I12" s="8">
        <v>1000</v>
      </c>
      <c r="J12" t="s">
        <v>51</v>
      </c>
      <c r="K12" s="7" t="s">
        <v>78</v>
      </c>
      <c r="L12" s="8">
        <v>1000000</v>
      </c>
      <c r="M12" t="s">
        <v>90</v>
      </c>
    </row>
    <row r="14" spans="2:13" x14ac:dyDescent="0.25">
      <c r="B14" t="s">
        <v>93</v>
      </c>
      <c r="C14" t="s">
        <v>94</v>
      </c>
      <c r="F14">
        <v>1000</v>
      </c>
      <c r="G14" t="s">
        <v>94</v>
      </c>
      <c r="H14" s="7" t="s">
        <v>78</v>
      </c>
      <c r="I14">
        <v>1</v>
      </c>
      <c r="J14" t="s">
        <v>95</v>
      </c>
    </row>
    <row r="15" spans="2:13" x14ac:dyDescent="0.25">
      <c r="B15" t="s">
        <v>96</v>
      </c>
      <c r="C15" t="s">
        <v>55</v>
      </c>
      <c r="F15">
        <v>1</v>
      </c>
      <c r="G15" t="s">
        <v>97</v>
      </c>
      <c r="H15" s="7" t="s">
        <v>78</v>
      </c>
      <c r="I15">
        <v>1</v>
      </c>
      <c r="J15" t="s">
        <v>98</v>
      </c>
      <c r="K15" s="7" t="s">
        <v>78</v>
      </c>
      <c r="L15">
        <v>1</v>
      </c>
      <c r="M15" t="s">
        <v>99</v>
      </c>
    </row>
    <row r="17" spans="2:2" x14ac:dyDescent="0.25">
      <c r="B17" s="9" t="s">
        <v>100</v>
      </c>
    </row>
  </sheetData>
  <mergeCells count="1">
    <mergeCell ref="F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610B-F5EC-4107-A8FB-0F277B7332F9}">
  <dimension ref="B2"/>
  <sheetViews>
    <sheetView workbookViewId="0">
      <selection activeCell="E40" sqref="E40"/>
    </sheetView>
  </sheetViews>
  <sheetFormatPr defaultRowHeight="15" x14ac:dyDescent="0.25"/>
  <sheetData>
    <row r="2" spans="2:2" x14ac:dyDescent="0.25">
      <c r="B2" s="9" t="s">
        <v>133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73C4-1CB8-4502-8C15-49A7C0384D59}">
  <dimension ref="A1"/>
  <sheetViews>
    <sheetView workbookViewId="0">
      <selection activeCell="O17" sqref="O1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3"/>
  <sheetViews>
    <sheetView topLeftCell="A3" zoomScale="220" zoomScaleNormal="220" workbookViewId="0">
      <selection activeCell="C8" sqref="C8:K13"/>
    </sheetView>
  </sheetViews>
  <sheetFormatPr defaultRowHeight="15" x14ac:dyDescent="0.25"/>
  <cols>
    <col min="1" max="1" width="2.7109375" customWidth="1"/>
    <col min="2" max="2" width="3.28515625" customWidth="1"/>
    <col min="3" max="3" width="14.28515625" customWidth="1"/>
    <col min="4" max="4" width="14" customWidth="1"/>
    <col min="5" max="5" width="13.28515625" customWidth="1"/>
    <col min="6" max="6" width="20.28515625" customWidth="1"/>
    <col min="7" max="7" width="5.85546875" customWidth="1"/>
    <col min="8" max="8" width="9.85546875" customWidth="1"/>
    <col min="9" max="9" width="10.28515625" customWidth="1"/>
    <col min="10" max="10" width="9.42578125" customWidth="1"/>
    <col min="11" max="11" width="10.5703125" customWidth="1"/>
    <col min="12" max="12" width="3.28515625" customWidth="1"/>
  </cols>
  <sheetData>
    <row r="2" spans="2:12" ht="18" x14ac:dyDescent="0.25">
      <c r="C2" s="1" t="s">
        <v>0</v>
      </c>
      <c r="D2" s="1"/>
      <c r="E2" s="2"/>
      <c r="F2" s="2"/>
      <c r="G2" s="3"/>
      <c r="H2" s="3"/>
      <c r="I2" s="3"/>
      <c r="J2" s="3"/>
      <c r="K2" s="3"/>
    </row>
    <row r="3" spans="2:12" ht="15.75" thickBot="1" x14ac:dyDescent="0.3"/>
    <row r="4" spans="2:12" ht="18" customHeight="1" x14ac:dyDescent="0.25">
      <c r="B4" s="17"/>
      <c r="C4" s="24"/>
      <c r="D4" s="24"/>
      <c r="E4" s="25"/>
      <c r="F4" s="25"/>
      <c r="G4" s="25"/>
      <c r="H4" s="25"/>
      <c r="I4" s="25"/>
      <c r="J4" s="25"/>
      <c r="K4" s="25"/>
      <c r="L4" s="22"/>
    </row>
    <row r="5" spans="2:12" ht="18.75" customHeight="1" thickBot="1" x14ac:dyDescent="0.3">
      <c r="B5" s="18"/>
      <c r="C5" s="90" t="s">
        <v>1</v>
      </c>
      <c r="D5" s="90"/>
      <c r="E5" s="90"/>
      <c r="F5" s="90"/>
      <c r="G5" s="90"/>
      <c r="H5" s="90"/>
      <c r="I5" s="90"/>
      <c r="J5" s="90"/>
      <c r="K5" s="90"/>
      <c r="L5" s="23"/>
    </row>
    <row r="6" spans="2:12" ht="18.75" customHeight="1" thickBot="1" x14ac:dyDescent="0.3">
      <c r="B6" s="18"/>
      <c r="C6" s="55" t="s">
        <v>135</v>
      </c>
      <c r="D6" s="55" t="s">
        <v>21</v>
      </c>
      <c r="E6" s="55" t="s">
        <v>2</v>
      </c>
      <c r="F6" s="55" t="s">
        <v>3</v>
      </c>
      <c r="G6" s="55" t="s">
        <v>4</v>
      </c>
      <c r="H6" s="55" t="s">
        <v>5</v>
      </c>
      <c r="I6" s="55" t="s">
        <v>6</v>
      </c>
      <c r="J6" s="55" t="s">
        <v>7</v>
      </c>
      <c r="K6" s="55" t="s">
        <v>8</v>
      </c>
      <c r="L6" s="23"/>
    </row>
    <row r="7" spans="2:12" ht="18.75" customHeight="1" thickBot="1" x14ac:dyDescent="0.3">
      <c r="B7" s="18"/>
      <c r="C7" s="92" t="s">
        <v>9</v>
      </c>
      <c r="D7" s="92" t="s">
        <v>30</v>
      </c>
      <c r="E7" s="92" t="s">
        <v>10</v>
      </c>
      <c r="F7" s="92" t="s">
        <v>11</v>
      </c>
      <c r="G7" s="92" t="s">
        <v>4</v>
      </c>
      <c r="H7" s="92" t="s">
        <v>12</v>
      </c>
      <c r="I7" s="92" t="s">
        <v>13</v>
      </c>
      <c r="J7" s="92" t="s">
        <v>14</v>
      </c>
      <c r="K7" s="92" t="s">
        <v>58</v>
      </c>
      <c r="L7" s="23"/>
    </row>
    <row r="8" spans="2:12" ht="18.75" customHeight="1" x14ac:dyDescent="0.25">
      <c r="B8" s="18"/>
      <c r="C8" s="68" t="s">
        <v>15</v>
      </c>
      <c r="D8" s="68"/>
      <c r="E8" s="68" t="s">
        <v>101</v>
      </c>
      <c r="F8" s="68" t="s">
        <v>57</v>
      </c>
      <c r="G8" s="68" t="s">
        <v>56</v>
      </c>
      <c r="H8" s="68"/>
      <c r="I8" s="68" t="s">
        <v>186</v>
      </c>
      <c r="J8" s="68"/>
      <c r="K8" s="68"/>
      <c r="L8" s="23"/>
    </row>
    <row r="9" spans="2:12" ht="18.75" customHeight="1" x14ac:dyDescent="0.25">
      <c r="B9" s="18"/>
      <c r="C9" s="77" t="s">
        <v>15</v>
      </c>
      <c r="D9" s="77"/>
      <c r="E9" s="77" t="s">
        <v>16</v>
      </c>
      <c r="F9" s="77" t="s">
        <v>53</v>
      </c>
      <c r="G9" s="77" t="s">
        <v>56</v>
      </c>
      <c r="H9" s="77"/>
      <c r="I9" s="77" t="s">
        <v>186</v>
      </c>
      <c r="J9" s="77"/>
      <c r="K9" s="77"/>
      <c r="L9" s="23"/>
    </row>
    <row r="10" spans="2:12" ht="18.75" customHeight="1" x14ac:dyDescent="0.25">
      <c r="B10" s="18"/>
      <c r="C10" s="68" t="s">
        <v>15</v>
      </c>
      <c r="D10" s="68"/>
      <c r="E10" s="68" t="s">
        <v>176</v>
      </c>
      <c r="F10" s="68" t="s">
        <v>177</v>
      </c>
      <c r="G10" s="68" t="s">
        <v>56</v>
      </c>
      <c r="H10" s="68"/>
      <c r="I10" s="68" t="s">
        <v>186</v>
      </c>
      <c r="J10" s="68"/>
      <c r="K10" s="68"/>
      <c r="L10" s="23"/>
    </row>
    <row r="11" spans="2:12" ht="18.75" customHeight="1" x14ac:dyDescent="0.25">
      <c r="B11" s="18"/>
      <c r="C11" s="77" t="s">
        <v>15</v>
      </c>
      <c r="D11" s="77"/>
      <c r="E11" s="77" t="s">
        <v>17</v>
      </c>
      <c r="F11" s="77" t="s">
        <v>54</v>
      </c>
      <c r="G11" s="77" t="s">
        <v>56</v>
      </c>
      <c r="H11" s="77"/>
      <c r="I11" s="77" t="s">
        <v>187</v>
      </c>
      <c r="J11" s="77"/>
      <c r="K11" s="77" t="s">
        <v>18</v>
      </c>
      <c r="L11" s="23"/>
    </row>
    <row r="12" spans="2:12" ht="18.75" customHeight="1" x14ac:dyDescent="0.25">
      <c r="B12" s="18"/>
      <c r="C12" s="68" t="s">
        <v>15</v>
      </c>
      <c r="D12" s="68"/>
      <c r="E12" s="68" t="s">
        <v>168</v>
      </c>
      <c r="F12" s="68" t="s">
        <v>170</v>
      </c>
      <c r="G12" s="68" t="s">
        <v>56</v>
      </c>
      <c r="H12" s="68"/>
      <c r="I12" s="68" t="s">
        <v>187</v>
      </c>
      <c r="J12" s="68"/>
      <c r="K12" s="68"/>
      <c r="L12" s="23"/>
    </row>
    <row r="13" spans="2:12" ht="18.75" customHeight="1" thickBot="1" x14ac:dyDescent="0.3">
      <c r="B13" s="18"/>
      <c r="C13" s="103" t="s">
        <v>138</v>
      </c>
      <c r="D13" s="103"/>
      <c r="E13" s="103" t="s">
        <v>169</v>
      </c>
      <c r="F13" s="103" t="s">
        <v>171</v>
      </c>
      <c r="G13" s="103" t="s">
        <v>56</v>
      </c>
      <c r="H13" s="103"/>
      <c r="I13" s="103" t="s">
        <v>187</v>
      </c>
      <c r="J13" s="103"/>
      <c r="K13" s="103"/>
      <c r="L13" s="23"/>
    </row>
    <row r="14" spans="2:12" ht="18" customHeight="1" thickTop="1" thickBot="1" x14ac:dyDescent="0.3">
      <c r="B14" s="19"/>
      <c r="C14" s="20"/>
      <c r="D14" s="20"/>
      <c r="E14" s="20"/>
      <c r="F14" s="20"/>
      <c r="G14" s="20"/>
      <c r="H14" s="20"/>
      <c r="I14" s="20"/>
      <c r="J14" s="20"/>
      <c r="K14" s="20"/>
      <c r="L14" s="21"/>
    </row>
    <row r="17" spans="3:5" ht="18.75" thickBot="1" x14ac:dyDescent="0.3">
      <c r="C17" s="105" t="s">
        <v>134</v>
      </c>
      <c r="D17" s="105"/>
      <c r="E17" s="105"/>
    </row>
    <row r="18" spans="3:5" x14ac:dyDescent="0.25">
      <c r="C18" s="62" t="s">
        <v>140</v>
      </c>
      <c r="D18" s="106" t="s">
        <v>141</v>
      </c>
      <c r="E18" s="107"/>
    </row>
    <row r="19" spans="3:5" x14ac:dyDescent="0.25">
      <c r="C19" s="59" t="s">
        <v>15</v>
      </c>
      <c r="D19" s="110" t="s">
        <v>139</v>
      </c>
      <c r="E19" s="110"/>
    </row>
    <row r="20" spans="3:5" x14ac:dyDescent="0.25">
      <c r="C20" s="60" t="s">
        <v>137</v>
      </c>
      <c r="D20" s="109" t="s">
        <v>142</v>
      </c>
      <c r="E20" s="109"/>
    </row>
    <row r="21" spans="3:5" x14ac:dyDescent="0.25">
      <c r="C21" s="59" t="s">
        <v>138</v>
      </c>
      <c r="D21" s="110" t="s">
        <v>143</v>
      </c>
      <c r="E21" s="110"/>
    </row>
    <row r="22" spans="3:5" x14ac:dyDescent="0.25">
      <c r="C22" s="60" t="s">
        <v>144</v>
      </c>
      <c r="D22" s="109" t="s">
        <v>146</v>
      </c>
      <c r="E22" s="109"/>
    </row>
    <row r="23" spans="3:5" ht="15.75" thickBot="1" x14ac:dyDescent="0.3">
      <c r="C23" s="61" t="s">
        <v>145</v>
      </c>
      <c r="D23" s="108" t="s">
        <v>147</v>
      </c>
      <c r="E23" s="108"/>
    </row>
  </sheetData>
  <mergeCells count="7">
    <mergeCell ref="C17:E17"/>
    <mergeCell ref="D18:E18"/>
    <mergeCell ref="D23:E23"/>
    <mergeCell ref="D22:E22"/>
    <mergeCell ref="D21:E21"/>
    <mergeCell ref="D20:E20"/>
    <mergeCell ref="D19:E19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98-97B2-47BE-BFC8-510092DE769F}">
  <dimension ref="B2:L33"/>
  <sheetViews>
    <sheetView topLeftCell="A3" zoomScale="160" zoomScaleNormal="160" workbookViewId="0">
      <selection activeCell="F12" sqref="F12"/>
    </sheetView>
  </sheetViews>
  <sheetFormatPr defaultRowHeight="15" x14ac:dyDescent="0.25"/>
  <cols>
    <col min="1" max="1" width="2.7109375" customWidth="1"/>
    <col min="2" max="2" width="3.28515625" customWidth="1"/>
    <col min="4" max="4" width="10" customWidth="1"/>
    <col min="5" max="5" width="16.28515625" bestFit="1" customWidth="1"/>
    <col min="6" max="6" width="22.7109375" bestFit="1" customWidth="1"/>
    <col min="9" max="9" width="10.42578125" customWidth="1"/>
    <col min="10" max="10" width="10.85546875" customWidth="1"/>
    <col min="12" max="12" width="3.28515625" customWidth="1"/>
  </cols>
  <sheetData>
    <row r="2" spans="2:12" ht="18" x14ac:dyDescent="0.25">
      <c r="C2" s="1" t="s">
        <v>37</v>
      </c>
      <c r="D2" s="2"/>
      <c r="E2" s="2"/>
    </row>
    <row r="3" spans="2:12" ht="15.75" thickBot="1" x14ac:dyDescent="0.3"/>
    <row r="4" spans="2:12" ht="18" customHeight="1" thickBot="1" x14ac:dyDescent="0.3">
      <c r="B4" s="17"/>
      <c r="C4" s="26"/>
      <c r="D4" s="26"/>
      <c r="E4" s="26"/>
      <c r="F4" s="26"/>
      <c r="G4" s="26"/>
      <c r="H4" s="26"/>
      <c r="I4" s="26"/>
      <c r="J4" s="26"/>
      <c r="K4" s="26"/>
      <c r="L4" s="22"/>
    </row>
    <row r="5" spans="2:12" ht="18.75" customHeight="1" thickBot="1" x14ac:dyDescent="0.3">
      <c r="B5" s="18"/>
      <c r="C5" s="27" t="s">
        <v>19</v>
      </c>
      <c r="D5" s="28"/>
      <c r="E5" s="28"/>
      <c r="F5" s="28"/>
      <c r="G5" s="28"/>
      <c r="H5" s="28"/>
      <c r="I5" s="28"/>
      <c r="J5" s="28"/>
      <c r="K5" s="29"/>
      <c r="L5" s="23"/>
    </row>
    <row r="6" spans="2:12" ht="18.75" customHeight="1" thickBot="1" x14ac:dyDescent="0.3">
      <c r="B6" s="18"/>
      <c r="C6" s="30" t="s">
        <v>20</v>
      </c>
      <c r="D6" s="16" t="s">
        <v>21</v>
      </c>
      <c r="E6" s="16" t="s">
        <v>22</v>
      </c>
      <c r="F6" s="16" t="s">
        <v>23</v>
      </c>
      <c r="G6" s="16" t="s">
        <v>24</v>
      </c>
      <c r="H6" s="16" t="s">
        <v>25</v>
      </c>
      <c r="I6" s="16" t="s">
        <v>26</v>
      </c>
      <c r="J6" s="16" t="s">
        <v>27</v>
      </c>
      <c r="K6" s="31" t="s">
        <v>28</v>
      </c>
      <c r="L6" s="23"/>
    </row>
    <row r="7" spans="2:12" ht="28.5" customHeight="1" x14ac:dyDescent="0.25">
      <c r="B7" s="18"/>
      <c r="C7" s="97" t="s">
        <v>29</v>
      </c>
      <c r="D7" s="98" t="s">
        <v>30</v>
      </c>
      <c r="E7" s="98" t="s">
        <v>31</v>
      </c>
      <c r="F7" s="98" t="s">
        <v>32</v>
      </c>
      <c r="G7" s="98" t="s">
        <v>33</v>
      </c>
      <c r="H7" s="98" t="s">
        <v>34</v>
      </c>
      <c r="I7" s="98" t="s">
        <v>13</v>
      </c>
      <c r="J7" s="98" t="s">
        <v>35</v>
      </c>
      <c r="K7" s="99" t="s">
        <v>36</v>
      </c>
      <c r="L7" s="23"/>
    </row>
    <row r="8" spans="2:12" ht="18.75" customHeight="1" x14ac:dyDescent="0.25">
      <c r="B8" s="18"/>
      <c r="C8" s="100" t="s">
        <v>65</v>
      </c>
      <c r="D8" s="101"/>
      <c r="E8" s="101"/>
      <c r="F8" s="101"/>
      <c r="G8" s="101"/>
      <c r="H8" s="101"/>
      <c r="I8" s="101"/>
      <c r="J8" s="101"/>
      <c r="K8" s="102"/>
      <c r="L8" s="23"/>
    </row>
    <row r="9" spans="2:12" ht="18.75" customHeight="1" x14ac:dyDescent="0.25">
      <c r="B9" s="18"/>
      <c r="C9" s="32" t="s">
        <v>59</v>
      </c>
      <c r="D9" s="14"/>
      <c r="E9" s="14" t="s">
        <v>60</v>
      </c>
      <c r="F9" s="14" t="s">
        <v>61</v>
      </c>
      <c r="G9" s="14" t="s">
        <v>56</v>
      </c>
      <c r="H9" s="14" t="s">
        <v>62</v>
      </c>
      <c r="I9" s="14" t="s">
        <v>186</v>
      </c>
      <c r="J9" s="14"/>
      <c r="K9" s="33"/>
      <c r="L9" s="23"/>
    </row>
    <row r="10" spans="2:12" ht="18.75" customHeight="1" x14ac:dyDescent="0.25">
      <c r="B10" s="18"/>
      <c r="C10" s="34" t="s">
        <v>38</v>
      </c>
      <c r="D10" s="15"/>
      <c r="E10" s="15" t="s">
        <v>40</v>
      </c>
      <c r="F10" s="15" t="s">
        <v>52</v>
      </c>
      <c r="G10" s="15" t="s">
        <v>56</v>
      </c>
      <c r="H10" s="15" t="s">
        <v>62</v>
      </c>
      <c r="I10" s="15" t="s">
        <v>186</v>
      </c>
      <c r="J10" s="15"/>
      <c r="K10" s="35"/>
      <c r="L10" s="23"/>
    </row>
    <row r="11" spans="2:12" ht="18.75" customHeight="1" x14ac:dyDescent="0.25">
      <c r="B11" s="18"/>
      <c r="C11" s="32" t="s">
        <v>38</v>
      </c>
      <c r="D11" s="14"/>
      <c r="E11" s="14" t="s">
        <v>174</v>
      </c>
      <c r="F11" s="14" t="s">
        <v>175</v>
      </c>
      <c r="G11" s="14" t="s">
        <v>56</v>
      </c>
      <c r="H11" s="14" t="s">
        <v>62</v>
      </c>
      <c r="I11" s="14" t="s">
        <v>186</v>
      </c>
      <c r="J11" s="14"/>
      <c r="K11" s="33"/>
      <c r="L11" s="23"/>
    </row>
    <row r="12" spans="2:12" ht="18.75" customHeight="1" x14ac:dyDescent="0.25">
      <c r="B12" s="18"/>
      <c r="C12" s="100" t="s">
        <v>66</v>
      </c>
      <c r="D12" s="101"/>
      <c r="E12" s="101"/>
      <c r="F12" s="101"/>
      <c r="G12" s="101"/>
      <c r="H12" s="101"/>
      <c r="I12" s="101"/>
      <c r="J12" s="101"/>
      <c r="K12" s="102"/>
      <c r="L12" s="23"/>
    </row>
    <row r="13" spans="2:12" ht="18.75" customHeight="1" x14ac:dyDescent="0.25">
      <c r="B13" s="18"/>
      <c r="C13" s="32" t="s">
        <v>39</v>
      </c>
      <c r="D13" s="14"/>
      <c r="E13" s="14" t="s">
        <v>63</v>
      </c>
      <c r="F13" s="14" t="s">
        <v>67</v>
      </c>
      <c r="G13" s="14" t="s">
        <v>56</v>
      </c>
      <c r="H13" s="14" t="s">
        <v>69</v>
      </c>
      <c r="I13" s="14" t="s">
        <v>187</v>
      </c>
      <c r="J13" s="14"/>
      <c r="K13" s="33"/>
      <c r="L13" s="23"/>
    </row>
    <row r="14" spans="2:12" ht="18.75" customHeight="1" x14ac:dyDescent="0.25">
      <c r="B14" s="18"/>
      <c r="C14" s="34" t="s">
        <v>39</v>
      </c>
      <c r="D14" s="15"/>
      <c r="E14" s="15" t="s">
        <v>64</v>
      </c>
      <c r="F14" s="15" t="s">
        <v>68</v>
      </c>
      <c r="G14" s="15" t="s">
        <v>56</v>
      </c>
      <c r="H14" s="15" t="s">
        <v>69</v>
      </c>
      <c r="I14" s="15" t="s">
        <v>187</v>
      </c>
      <c r="J14" s="15"/>
      <c r="K14" s="35"/>
      <c r="L14" s="23"/>
    </row>
    <row r="15" spans="2:12" ht="18.75" customHeight="1" x14ac:dyDescent="0.25">
      <c r="B15" s="18"/>
      <c r="C15" s="68" t="s">
        <v>39</v>
      </c>
      <c r="D15" s="68"/>
      <c r="E15" s="68" t="s">
        <v>172</v>
      </c>
      <c r="F15" s="68" t="s">
        <v>173</v>
      </c>
      <c r="G15" s="68" t="s">
        <v>56</v>
      </c>
      <c r="H15" s="68" t="s">
        <v>69</v>
      </c>
      <c r="I15" s="68" t="s">
        <v>187</v>
      </c>
      <c r="J15" s="68"/>
      <c r="K15" s="68"/>
      <c r="L15" s="23"/>
    </row>
    <row r="16" spans="2:12" ht="18.75" customHeight="1" x14ac:dyDescent="0.25">
      <c r="B16" s="18"/>
      <c r="C16" s="87" t="s">
        <v>178</v>
      </c>
      <c r="D16" s="87"/>
      <c r="E16" s="87"/>
      <c r="F16" s="87"/>
      <c r="G16" s="87"/>
      <c r="H16" s="87"/>
      <c r="I16" s="87"/>
      <c r="J16" s="87"/>
      <c r="K16" s="87"/>
      <c r="L16" s="23"/>
    </row>
    <row r="17" spans="2:12" ht="18.75" customHeight="1" x14ac:dyDescent="0.25">
      <c r="B17" s="18"/>
      <c r="C17" s="68" t="s">
        <v>183</v>
      </c>
      <c r="D17" s="68"/>
      <c r="E17" s="68" t="s">
        <v>184</v>
      </c>
      <c r="F17" s="68" t="s">
        <v>185</v>
      </c>
      <c r="G17" s="68" t="s">
        <v>56</v>
      </c>
      <c r="H17" s="68" t="s">
        <v>69</v>
      </c>
      <c r="I17" s="68" t="s">
        <v>187</v>
      </c>
      <c r="J17" s="68"/>
      <c r="K17" s="68"/>
      <c r="L17" s="23"/>
    </row>
    <row r="18" spans="2:12" ht="18.75" customHeight="1" x14ac:dyDescent="0.25">
      <c r="B18" s="18"/>
      <c r="C18" s="85" t="s">
        <v>178</v>
      </c>
      <c r="D18" s="85" t="s">
        <v>179</v>
      </c>
      <c r="E18" s="85"/>
      <c r="F18" s="85"/>
      <c r="G18" s="85"/>
      <c r="H18" s="85"/>
      <c r="I18" s="85"/>
      <c r="J18" s="85"/>
      <c r="K18" s="85"/>
      <c r="L18" s="23"/>
    </row>
    <row r="19" spans="2:12" ht="18.75" customHeight="1" thickBot="1" x14ac:dyDescent="0.3">
      <c r="B19" s="18"/>
      <c r="C19" s="89" t="s">
        <v>180</v>
      </c>
      <c r="D19" s="89"/>
      <c r="E19" s="89" t="s">
        <v>181</v>
      </c>
      <c r="F19" s="89" t="s">
        <v>182</v>
      </c>
      <c r="G19" s="89" t="s">
        <v>56</v>
      </c>
      <c r="H19" s="89" t="s">
        <v>62</v>
      </c>
      <c r="I19" s="89" t="s">
        <v>187</v>
      </c>
      <c r="J19" s="89"/>
      <c r="K19" s="89"/>
      <c r="L19" s="23"/>
    </row>
    <row r="20" spans="2:12" ht="18" customHeight="1" thickTop="1" thickBot="1" x14ac:dyDescent="0.3"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1"/>
    </row>
    <row r="23" spans="2:12" ht="18.75" thickBot="1" x14ac:dyDescent="0.3">
      <c r="C23" s="105" t="s">
        <v>166</v>
      </c>
      <c r="D23" s="105"/>
      <c r="E23" s="105"/>
    </row>
    <row r="24" spans="2:12" ht="14.45" customHeight="1" x14ac:dyDescent="0.25">
      <c r="C24" s="16" t="s">
        <v>167</v>
      </c>
      <c r="D24" s="112" t="s">
        <v>141</v>
      </c>
      <c r="E24" s="113"/>
    </row>
    <row r="25" spans="2:12" x14ac:dyDescent="0.25">
      <c r="C25" s="63" t="s">
        <v>148</v>
      </c>
      <c r="D25" s="116" t="s">
        <v>164</v>
      </c>
      <c r="E25" s="116"/>
    </row>
    <row r="26" spans="2:12" x14ac:dyDescent="0.25">
      <c r="C26" s="60" t="s">
        <v>154</v>
      </c>
      <c r="D26" s="114" t="s">
        <v>162</v>
      </c>
      <c r="E26" s="114"/>
    </row>
    <row r="27" spans="2:12" x14ac:dyDescent="0.25">
      <c r="C27" s="59" t="s">
        <v>152</v>
      </c>
      <c r="D27" s="115" t="s">
        <v>160</v>
      </c>
      <c r="E27" s="115"/>
    </row>
    <row r="28" spans="2:12" x14ac:dyDescent="0.25">
      <c r="C28" s="60" t="s">
        <v>151</v>
      </c>
      <c r="D28" s="114" t="s">
        <v>159</v>
      </c>
      <c r="E28" s="114"/>
    </row>
    <row r="29" spans="2:12" x14ac:dyDescent="0.25">
      <c r="C29" s="59" t="s">
        <v>150</v>
      </c>
      <c r="D29" s="115" t="s">
        <v>158</v>
      </c>
      <c r="E29" s="115"/>
    </row>
    <row r="30" spans="2:12" x14ac:dyDescent="0.25">
      <c r="C30" s="60" t="s">
        <v>157</v>
      </c>
      <c r="D30" s="114" t="s">
        <v>165</v>
      </c>
      <c r="E30" s="114"/>
    </row>
    <row r="31" spans="2:12" x14ac:dyDescent="0.25">
      <c r="C31" s="59" t="s">
        <v>153</v>
      </c>
      <c r="D31" s="115" t="s">
        <v>161</v>
      </c>
      <c r="E31" s="115"/>
    </row>
    <row r="32" spans="2:12" x14ac:dyDescent="0.25">
      <c r="C32" s="60" t="s">
        <v>149</v>
      </c>
      <c r="D32" s="114" t="s">
        <v>156</v>
      </c>
      <c r="E32" s="114"/>
    </row>
    <row r="33" spans="3:5" ht="15.75" thickBot="1" x14ac:dyDescent="0.3">
      <c r="C33" s="61" t="s">
        <v>155</v>
      </c>
      <c r="D33" s="111" t="s">
        <v>163</v>
      </c>
      <c r="E33" s="111"/>
    </row>
  </sheetData>
  <mergeCells count="11">
    <mergeCell ref="D33:E33"/>
    <mergeCell ref="C23:E23"/>
    <mergeCell ref="D24:E24"/>
    <mergeCell ref="D32:E32"/>
    <mergeCell ref="D31:E31"/>
    <mergeCell ref="D30:E30"/>
    <mergeCell ref="D29:E29"/>
    <mergeCell ref="D28:E28"/>
    <mergeCell ref="D27:E27"/>
    <mergeCell ref="D26:E26"/>
    <mergeCell ref="D25:E25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2914-7966-4DC5-AB8B-D64E02D1F6E6}">
  <dimension ref="B2:H12"/>
  <sheetViews>
    <sheetView zoomScale="190" zoomScaleNormal="190" workbookViewId="0">
      <selection activeCell="E9" sqref="E9:E11"/>
    </sheetView>
  </sheetViews>
  <sheetFormatPr defaultRowHeight="15" x14ac:dyDescent="0.25"/>
  <cols>
    <col min="1" max="1" width="2.7109375" customWidth="1"/>
    <col min="2" max="2" width="3.28515625" customWidth="1"/>
    <col min="3" max="3" width="18.7109375" customWidth="1"/>
    <col min="4" max="4" width="20.42578125" customWidth="1"/>
    <col min="5" max="5" width="12.42578125" customWidth="1"/>
    <col min="6" max="6" width="14.28515625" customWidth="1"/>
    <col min="7" max="7" width="10.5703125" customWidth="1"/>
    <col min="8" max="8" width="3.28515625" customWidth="1"/>
  </cols>
  <sheetData>
    <row r="2" spans="2:8" ht="15.75" x14ac:dyDescent="0.25">
      <c r="C2" s="4" t="s">
        <v>45</v>
      </c>
      <c r="D2" s="5"/>
      <c r="E2" s="6"/>
    </row>
    <row r="3" spans="2:8" ht="15.75" thickBot="1" x14ac:dyDescent="0.3"/>
    <row r="4" spans="2:8" ht="18" customHeight="1" thickBot="1" x14ac:dyDescent="0.3">
      <c r="B4" s="17"/>
      <c r="C4" s="46"/>
      <c r="D4" s="47"/>
      <c r="E4" s="47"/>
      <c r="F4" s="26"/>
      <c r="G4" s="26"/>
      <c r="H4" s="22"/>
    </row>
    <row r="5" spans="2:8" ht="18.75" customHeight="1" thickBot="1" x14ac:dyDescent="0.3">
      <c r="B5" s="18"/>
      <c r="C5" s="39" t="s">
        <v>41</v>
      </c>
      <c r="D5" s="37"/>
      <c r="E5" s="37"/>
      <c r="F5" s="37"/>
      <c r="G5" s="38"/>
      <c r="H5" s="23"/>
    </row>
    <row r="6" spans="2:8" ht="18.75" customHeight="1" thickBot="1" x14ac:dyDescent="0.3">
      <c r="B6" s="18"/>
      <c r="C6" s="40" t="s">
        <v>22</v>
      </c>
      <c r="D6" s="11" t="s">
        <v>136</v>
      </c>
      <c r="E6" s="11" t="s">
        <v>42</v>
      </c>
      <c r="F6" s="11" t="s">
        <v>46</v>
      </c>
      <c r="G6" s="41" t="s">
        <v>47</v>
      </c>
      <c r="H6" s="23"/>
    </row>
    <row r="7" spans="2:8" ht="38.25" x14ac:dyDescent="0.25">
      <c r="B7" s="18"/>
      <c r="C7" s="93" t="s">
        <v>43</v>
      </c>
      <c r="D7" s="94" t="s">
        <v>32</v>
      </c>
      <c r="E7" s="94" t="s">
        <v>44</v>
      </c>
      <c r="F7" s="94" t="s">
        <v>48</v>
      </c>
      <c r="G7" s="95" t="s">
        <v>49</v>
      </c>
      <c r="H7" s="23"/>
    </row>
    <row r="8" spans="2:8" ht="18.75" customHeight="1" x14ac:dyDescent="0.25">
      <c r="B8" s="18"/>
      <c r="C8" s="82" t="s">
        <v>50</v>
      </c>
      <c r="D8" s="83"/>
      <c r="E8" s="83"/>
      <c r="F8" s="83" t="s">
        <v>62</v>
      </c>
      <c r="G8" s="84" t="s">
        <v>76</v>
      </c>
      <c r="H8" s="23"/>
    </row>
    <row r="9" spans="2:8" ht="18.75" customHeight="1" x14ac:dyDescent="0.25">
      <c r="B9" s="18"/>
      <c r="C9" s="44" t="str">
        <f>FI_Process!E9</f>
        <v>IMP_OIL</v>
      </c>
      <c r="D9" s="68" t="str">
        <f>FI_Process!F9</f>
        <v>Import of Fuel Oil</v>
      </c>
      <c r="E9" s="68" t="str">
        <f>FI_Comm!E8</f>
        <v>FUEL_OIL</v>
      </c>
      <c r="F9" s="68"/>
      <c r="G9" s="45">
        <v>30</v>
      </c>
      <c r="H9" s="23"/>
    </row>
    <row r="10" spans="2:8" ht="18.75" customHeight="1" x14ac:dyDescent="0.25">
      <c r="B10" s="18"/>
      <c r="C10" s="64" t="str">
        <f>FI_Process!E10</f>
        <v>MIN_NAT_GAS</v>
      </c>
      <c r="D10" s="77" t="str">
        <f>FI_Process!F10</f>
        <v>Supply Natural Gas</v>
      </c>
      <c r="E10" s="77" t="str">
        <f>FI_Comm!E9</f>
        <v>NAT_GAS</v>
      </c>
      <c r="F10" s="77"/>
      <c r="G10" s="65">
        <v>20</v>
      </c>
      <c r="H10" s="23"/>
    </row>
    <row r="11" spans="2:8" ht="18.75" customHeight="1" thickBot="1" x14ac:dyDescent="0.3">
      <c r="B11" s="18"/>
      <c r="C11" s="79" t="str">
        <f>FI_Process!E11</f>
        <v>MIN_WIND_ON</v>
      </c>
      <c r="D11" s="80" t="str">
        <f>FI_Process!F11</f>
        <v>Supply Wind Onshore</v>
      </c>
      <c r="E11" s="80" t="str">
        <f>FI_Comm!E10</f>
        <v>WIND_ON</v>
      </c>
      <c r="F11" s="80"/>
      <c r="G11" s="96">
        <v>1E-3</v>
      </c>
      <c r="H11" s="23"/>
    </row>
    <row r="12" spans="2:8" ht="18" customHeight="1" thickTop="1" thickBot="1" x14ac:dyDescent="0.3">
      <c r="B12" s="19"/>
      <c r="C12" s="20"/>
      <c r="D12" s="20"/>
      <c r="E12" s="20"/>
      <c r="F12" s="20"/>
      <c r="G12" s="20"/>
      <c r="H12" s="21"/>
    </row>
  </sheetData>
  <phoneticPr fontId="15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FE246-6927-4E10-AB96-C02BF4616A2F}">
  <dimension ref="B2:P23"/>
  <sheetViews>
    <sheetView tabSelected="1" zoomScale="145" zoomScaleNormal="145" workbookViewId="0">
      <selection activeCell="N5" sqref="N5"/>
    </sheetView>
  </sheetViews>
  <sheetFormatPr defaultRowHeight="15" x14ac:dyDescent="0.25"/>
  <cols>
    <col min="1" max="1" width="2.7109375" customWidth="1"/>
    <col min="2" max="2" width="3.28515625" customWidth="1"/>
    <col min="3" max="3" width="17.7109375" customWidth="1"/>
    <col min="4" max="4" width="15.5703125" customWidth="1"/>
    <col min="5" max="5" width="10.140625" bestFit="1" customWidth="1"/>
    <col min="6" max="6" width="11.140625" bestFit="1" customWidth="1"/>
    <col min="7" max="7" width="8.28515625" bestFit="1" customWidth="1"/>
    <col min="8" max="8" width="16.7109375" bestFit="1" customWidth="1"/>
    <col min="9" max="9" width="9.28515625" customWidth="1"/>
    <col min="10" max="10" width="12.42578125" customWidth="1"/>
    <col min="11" max="11" width="7.7109375" bestFit="1" customWidth="1"/>
    <col min="12" max="12" width="8" bestFit="1" customWidth="1"/>
    <col min="13" max="13" width="3.28515625" customWidth="1"/>
    <col min="15" max="16" width="17.28515625" customWidth="1"/>
    <col min="17" max="17" width="11.140625" customWidth="1"/>
  </cols>
  <sheetData>
    <row r="2" spans="2:16" ht="15.75" x14ac:dyDescent="0.25">
      <c r="C2" s="4" t="s">
        <v>116</v>
      </c>
      <c r="D2" s="5"/>
      <c r="E2" s="5"/>
      <c r="F2" s="6"/>
    </row>
    <row r="3" spans="2:16" ht="15.75" thickBot="1" x14ac:dyDescent="0.3">
      <c r="F3" s="6"/>
    </row>
    <row r="4" spans="2:16" ht="15.75" thickBot="1" x14ac:dyDescent="0.3">
      <c r="B4" s="17"/>
      <c r="C4" s="46"/>
      <c r="D4" s="47"/>
      <c r="E4" s="47"/>
      <c r="F4" s="48"/>
      <c r="G4" s="26"/>
      <c r="H4" s="26"/>
      <c r="I4" s="26"/>
      <c r="J4" s="26"/>
      <c r="K4" s="26"/>
      <c r="L4" s="26"/>
      <c r="M4" s="22"/>
    </row>
    <row r="5" spans="2:16" ht="18.75" customHeight="1" thickBot="1" x14ac:dyDescent="0.3">
      <c r="B5" s="18"/>
      <c r="C5" s="39" t="s">
        <v>41</v>
      </c>
      <c r="D5" s="37"/>
      <c r="E5" s="37"/>
      <c r="F5" s="37"/>
      <c r="G5" s="37"/>
      <c r="H5" s="37"/>
      <c r="I5" s="37"/>
      <c r="J5" s="37"/>
      <c r="K5" s="37"/>
      <c r="L5" s="38"/>
      <c r="M5" s="23"/>
    </row>
    <row r="6" spans="2:16" ht="26.25" thickBot="1" x14ac:dyDescent="0.3">
      <c r="B6" s="18"/>
      <c r="C6" s="40" t="s">
        <v>22</v>
      </c>
      <c r="D6" s="11" t="s">
        <v>136</v>
      </c>
      <c r="E6" s="11" t="s">
        <v>102</v>
      </c>
      <c r="F6" s="11" t="s">
        <v>42</v>
      </c>
      <c r="G6" s="11" t="s">
        <v>105</v>
      </c>
      <c r="H6" s="11" t="s">
        <v>106</v>
      </c>
      <c r="I6" s="11" t="s">
        <v>104</v>
      </c>
      <c r="J6" s="11" t="s">
        <v>107</v>
      </c>
      <c r="K6" s="11" t="s">
        <v>108</v>
      </c>
      <c r="L6" s="41" t="s">
        <v>109</v>
      </c>
      <c r="M6" s="23"/>
      <c r="O6" s="9" t="s">
        <v>128</v>
      </c>
    </row>
    <row r="7" spans="2:16" ht="38.25" x14ac:dyDescent="0.25">
      <c r="B7" s="18"/>
      <c r="C7" s="93" t="s">
        <v>43</v>
      </c>
      <c r="D7" s="94" t="s">
        <v>32</v>
      </c>
      <c r="E7" s="94" t="s">
        <v>103</v>
      </c>
      <c r="F7" s="94" t="s">
        <v>44</v>
      </c>
      <c r="G7" s="94" t="s">
        <v>110</v>
      </c>
      <c r="H7" s="94" t="s">
        <v>111</v>
      </c>
      <c r="I7" s="94" t="s">
        <v>112</v>
      </c>
      <c r="J7" s="94" t="s">
        <v>113</v>
      </c>
      <c r="K7" s="94" t="s">
        <v>114</v>
      </c>
      <c r="L7" s="95" t="s">
        <v>115</v>
      </c>
      <c r="M7" s="23"/>
      <c r="O7" s="10" t="s">
        <v>129</v>
      </c>
      <c r="P7" s="10" t="s">
        <v>132</v>
      </c>
    </row>
    <row r="8" spans="2:16" ht="18.75" customHeight="1" x14ac:dyDescent="0.25">
      <c r="B8" s="18"/>
      <c r="C8" s="86" t="s">
        <v>50</v>
      </c>
      <c r="D8" s="87"/>
      <c r="E8" s="87"/>
      <c r="F8" s="87"/>
      <c r="G8" s="87" t="s">
        <v>69</v>
      </c>
      <c r="H8" s="87" t="s">
        <v>131</v>
      </c>
      <c r="I8" s="87" t="s">
        <v>122</v>
      </c>
      <c r="J8" s="87" t="s">
        <v>122</v>
      </c>
      <c r="K8" s="87" t="s">
        <v>76</v>
      </c>
      <c r="L8" s="88" t="s">
        <v>75</v>
      </c>
      <c r="M8" s="23"/>
      <c r="O8" s="52" t="s">
        <v>130</v>
      </c>
      <c r="P8" s="52" t="s">
        <v>130</v>
      </c>
    </row>
    <row r="9" spans="2:16" ht="18.75" customHeight="1" x14ac:dyDescent="0.25">
      <c r="B9" s="18"/>
      <c r="C9" s="44" t="str">
        <f>FI_Process!E13</f>
        <v>EX_PP_OIL</v>
      </c>
      <c r="D9" s="68" t="str">
        <f>FI_Process!F13</f>
        <v>Power Plant - Fuel Oil</v>
      </c>
      <c r="E9" s="68" t="str">
        <f>FI_Comm!E8</f>
        <v>FUEL_OIL</v>
      </c>
      <c r="F9" s="68" t="str">
        <f>FI_Comm!E11</f>
        <v>ELC_HV</v>
      </c>
      <c r="G9" s="68">
        <v>4</v>
      </c>
      <c r="H9" s="68">
        <v>31.536000000000001</v>
      </c>
      <c r="I9" s="68">
        <v>0.4</v>
      </c>
      <c r="J9" s="68">
        <v>0.8</v>
      </c>
      <c r="K9" s="68">
        <v>1</v>
      </c>
      <c r="L9" s="45">
        <v>1</v>
      </c>
      <c r="M9" s="23"/>
      <c r="O9" s="51">
        <f>G9*H9*J9</f>
        <v>100.91520000000001</v>
      </c>
      <c r="P9" s="51">
        <f>O9/I9</f>
        <v>252.28800000000001</v>
      </c>
    </row>
    <row r="10" spans="2:16" ht="18.75" customHeight="1" x14ac:dyDescent="0.25">
      <c r="B10" s="18"/>
      <c r="C10" s="64" t="str">
        <f>FI_Process!E14</f>
        <v>EX_PP_NAT_GAS</v>
      </c>
      <c r="D10" s="77" t="str">
        <f>FI_Process!F14</f>
        <v>Power Plant - Natural Gas</v>
      </c>
      <c r="E10" s="77" t="str">
        <f>FI_Comm!E9</f>
        <v>NAT_GAS</v>
      </c>
      <c r="F10" s="77" t="str">
        <f>FI_Comm!E11</f>
        <v>ELC_HV</v>
      </c>
      <c r="G10" s="77">
        <v>2</v>
      </c>
      <c r="H10" s="77">
        <v>31.536000000000001</v>
      </c>
      <c r="I10" s="77">
        <v>0.6</v>
      </c>
      <c r="J10" s="77">
        <v>0.5</v>
      </c>
      <c r="K10" s="77">
        <v>1</v>
      </c>
      <c r="L10" s="65">
        <v>1</v>
      </c>
      <c r="M10" s="23"/>
      <c r="O10" s="57">
        <f>G10*H10*J10</f>
        <v>31.536000000000001</v>
      </c>
      <c r="P10" s="57">
        <f>O10/I10</f>
        <v>52.56</v>
      </c>
    </row>
    <row r="11" spans="2:16" ht="18.75" customHeight="1" thickBot="1" x14ac:dyDescent="0.3">
      <c r="B11" s="18"/>
      <c r="C11" s="79" t="str">
        <f>FI_Process!E15</f>
        <v>EX_PP_WIND</v>
      </c>
      <c r="D11" s="80" t="str">
        <f>FI_Process!F15</f>
        <v>Power Plant - Wind Tuebine</v>
      </c>
      <c r="E11" s="80" t="str">
        <f>FI_Comm!E10</f>
        <v>WIND_ON</v>
      </c>
      <c r="F11" s="80" t="str">
        <f>FI_Comm!E11</f>
        <v>ELC_HV</v>
      </c>
      <c r="G11" s="80">
        <v>1</v>
      </c>
      <c r="H11" s="80">
        <v>31.536000000000001</v>
      </c>
      <c r="I11" s="80">
        <v>1</v>
      </c>
      <c r="J11" s="80">
        <v>0.33</v>
      </c>
      <c r="K11" s="80"/>
      <c r="L11" s="96">
        <v>1</v>
      </c>
      <c r="M11" s="23"/>
      <c r="O11" s="51"/>
      <c r="P11" s="51"/>
    </row>
    <row r="12" spans="2:16" ht="16.5" thickTop="1" thickBot="1" x14ac:dyDescent="0.3">
      <c r="B12" s="19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1"/>
      <c r="O12" s="58">
        <f>SUM(O9:O10)</f>
        <v>132.45120000000003</v>
      </c>
    </row>
    <row r="17" spans="3:3" x14ac:dyDescent="0.25">
      <c r="C17" s="9" t="s">
        <v>127</v>
      </c>
    </row>
    <row r="18" spans="3:3" x14ac:dyDescent="0.25">
      <c r="C18" t="s">
        <v>124</v>
      </c>
    </row>
    <row r="19" spans="3:3" ht="42" customHeight="1" x14ac:dyDescent="0.25"/>
    <row r="20" spans="3:3" x14ac:dyDescent="0.25">
      <c r="C20" t="s">
        <v>125</v>
      </c>
    </row>
    <row r="21" spans="3:3" x14ac:dyDescent="0.25">
      <c r="C21" t="s">
        <v>123</v>
      </c>
    </row>
    <row r="22" spans="3:3" x14ac:dyDescent="0.25">
      <c r="C22" t="s">
        <v>126</v>
      </c>
    </row>
    <row r="23" spans="3:3" ht="42" customHeight="1" x14ac:dyDescent="0.25"/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9C56-8571-476E-80B4-2A2AA175E0B0}">
  <dimension ref="B2:K7"/>
  <sheetViews>
    <sheetView workbookViewId="0">
      <selection activeCell="G15" sqref="G15"/>
    </sheetView>
  </sheetViews>
  <sheetFormatPr defaultRowHeight="15" x14ac:dyDescent="0.25"/>
  <cols>
    <col min="2" max="2" width="17.7109375" customWidth="1"/>
    <col min="3" max="3" width="15" customWidth="1"/>
    <col min="4" max="4" width="18.140625" customWidth="1"/>
    <col min="7" max="7" width="13.140625" customWidth="1"/>
  </cols>
  <sheetData>
    <row r="2" spans="2:11" ht="18.75" customHeight="1" thickBot="1" x14ac:dyDescent="0.3">
      <c r="B2" s="90" t="s">
        <v>41</v>
      </c>
      <c r="C2" s="90"/>
      <c r="D2" s="90"/>
      <c r="E2" s="90"/>
      <c r="F2" s="90"/>
      <c r="G2" s="90"/>
      <c r="H2" s="90"/>
      <c r="I2" s="90"/>
      <c r="J2" s="90"/>
      <c r="K2" s="90"/>
    </row>
    <row r="3" spans="2:11" ht="18.75" customHeight="1" thickBot="1" x14ac:dyDescent="0.3">
      <c r="B3" s="55" t="s">
        <v>22</v>
      </c>
      <c r="C3" s="55" t="s">
        <v>136</v>
      </c>
      <c r="D3" s="55" t="s">
        <v>102</v>
      </c>
      <c r="E3" s="55" t="s">
        <v>42</v>
      </c>
      <c r="F3" s="55" t="s">
        <v>105</v>
      </c>
      <c r="G3" s="55" t="s">
        <v>106</v>
      </c>
      <c r="H3" s="55" t="s">
        <v>104</v>
      </c>
      <c r="I3" s="55" t="s">
        <v>107</v>
      </c>
      <c r="J3" s="55" t="s">
        <v>108</v>
      </c>
      <c r="K3" s="55" t="s">
        <v>109</v>
      </c>
    </row>
    <row r="4" spans="2:11" x14ac:dyDescent="0.25">
      <c r="B4" s="91" t="s">
        <v>43</v>
      </c>
      <c r="C4" s="91" t="s">
        <v>32</v>
      </c>
      <c r="D4" s="91" t="s">
        <v>103</v>
      </c>
      <c r="E4" s="91" t="s">
        <v>44</v>
      </c>
      <c r="F4" s="91" t="s">
        <v>110</v>
      </c>
      <c r="G4" s="91" t="s">
        <v>111</v>
      </c>
      <c r="H4" s="91" t="s">
        <v>112</v>
      </c>
      <c r="I4" s="91" t="s">
        <v>113</v>
      </c>
      <c r="J4" s="91" t="s">
        <v>114</v>
      </c>
      <c r="K4" s="91" t="s">
        <v>115</v>
      </c>
    </row>
    <row r="5" spans="2:11" ht="18.75" customHeight="1" x14ac:dyDescent="0.25">
      <c r="B5" s="85" t="s">
        <v>50</v>
      </c>
      <c r="C5" s="85"/>
      <c r="D5" s="85"/>
      <c r="E5" s="85"/>
      <c r="F5" s="85" t="s">
        <v>69</v>
      </c>
      <c r="G5" s="85" t="s">
        <v>131</v>
      </c>
      <c r="H5" s="85" t="s">
        <v>122</v>
      </c>
      <c r="I5" s="85" t="s">
        <v>122</v>
      </c>
      <c r="J5" s="85" t="s">
        <v>76</v>
      </c>
      <c r="K5" s="85" t="s">
        <v>75</v>
      </c>
    </row>
    <row r="6" spans="2:11" ht="18.75" customHeight="1" thickBot="1" x14ac:dyDescent="0.3">
      <c r="B6" s="89" t="str">
        <f>FI_Process!E17</f>
        <v>EX_ELC_GRID</v>
      </c>
      <c r="C6" s="89" t="str">
        <f>FI_Process!F17</f>
        <v>Existing Grid</v>
      </c>
      <c r="D6" s="89" t="str">
        <f>FI_Comm!E11</f>
        <v>ELC_HV</v>
      </c>
      <c r="E6" s="89" t="str">
        <f>FI_Comm!E12</f>
        <v>ELC_LV</v>
      </c>
      <c r="F6" s="89"/>
      <c r="G6" s="89">
        <v>1</v>
      </c>
      <c r="H6" s="89">
        <v>0.88</v>
      </c>
      <c r="I6" s="89"/>
      <c r="J6" s="89"/>
      <c r="K6" s="89"/>
    </row>
    <row r="7" spans="2:11" ht="15.75" thickTop="1" x14ac:dyDescent="0.25"/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E65A-CDBE-4BD0-8253-87A191EAA74A}">
  <dimension ref="B1:L25"/>
  <sheetViews>
    <sheetView topLeftCell="A2" zoomScale="160" zoomScaleNormal="160" workbookViewId="0">
      <selection activeCell="K10" sqref="K10"/>
    </sheetView>
  </sheetViews>
  <sheetFormatPr defaultRowHeight="15" x14ac:dyDescent="0.25"/>
  <cols>
    <col min="1" max="1" width="2.7109375" customWidth="1"/>
    <col min="2" max="2" width="3.28515625" customWidth="1"/>
    <col min="3" max="3" width="16.85546875" customWidth="1"/>
    <col min="4" max="4" width="22.7109375" bestFit="1" customWidth="1"/>
    <col min="5" max="5" width="10.42578125" customWidth="1"/>
    <col min="6" max="6" width="18.7109375" customWidth="1"/>
    <col min="7" max="7" width="13.85546875" customWidth="1"/>
    <col min="8" max="8" width="10.85546875" bestFit="1" customWidth="1"/>
    <col min="9" max="9" width="9" bestFit="1" customWidth="1"/>
    <col min="10" max="10" width="8.7109375" bestFit="1" customWidth="1"/>
    <col min="11" max="11" width="7.85546875" bestFit="1" customWidth="1"/>
    <col min="12" max="12" width="8.28515625" bestFit="1" customWidth="1"/>
  </cols>
  <sheetData>
    <row r="1" spans="2:8" ht="15" customHeight="1" x14ac:dyDescent="0.25"/>
    <row r="2" spans="2:8" ht="15.75" x14ac:dyDescent="0.25">
      <c r="C2" s="4" t="s">
        <v>117</v>
      </c>
      <c r="D2" s="5"/>
      <c r="E2" s="6"/>
    </row>
    <row r="3" spans="2:8" ht="15.75" thickBot="1" x14ac:dyDescent="0.3"/>
    <row r="4" spans="2:8" ht="18" customHeight="1" thickBot="1" x14ac:dyDescent="0.3">
      <c r="B4" s="17"/>
      <c r="C4" s="46"/>
      <c r="D4" s="47"/>
      <c r="E4" s="48"/>
      <c r="F4" s="22"/>
    </row>
    <row r="5" spans="2:8" ht="18.75" customHeight="1" thickBot="1" x14ac:dyDescent="0.3">
      <c r="B5" s="18"/>
      <c r="C5" s="56" t="s">
        <v>41</v>
      </c>
      <c r="D5" s="37"/>
      <c r="E5" s="38"/>
      <c r="F5" s="70"/>
    </row>
    <row r="6" spans="2:8" ht="18.75" customHeight="1" thickBot="1" x14ac:dyDescent="0.3">
      <c r="B6" s="18"/>
      <c r="C6" s="54" t="s">
        <v>2</v>
      </c>
      <c r="D6" s="55" t="s">
        <v>118</v>
      </c>
      <c r="E6" s="55" t="s">
        <v>189</v>
      </c>
      <c r="F6" s="53">
        <v>2025</v>
      </c>
    </row>
    <row r="7" spans="2:8" ht="18.75" customHeight="1" x14ac:dyDescent="0.25">
      <c r="B7" s="18"/>
      <c r="C7" s="71" t="s">
        <v>119</v>
      </c>
      <c r="D7" s="72" t="s">
        <v>118</v>
      </c>
      <c r="E7" s="72"/>
      <c r="F7" s="73" t="s">
        <v>120</v>
      </c>
    </row>
    <row r="8" spans="2:8" ht="18.75" customHeight="1" x14ac:dyDescent="0.25">
      <c r="B8" s="18"/>
      <c r="C8" s="74" t="s">
        <v>50</v>
      </c>
      <c r="D8" s="75"/>
      <c r="E8" s="75"/>
      <c r="F8" s="76" t="s">
        <v>130</v>
      </c>
    </row>
    <row r="9" spans="2:8" ht="18.75" customHeight="1" x14ac:dyDescent="0.25">
      <c r="B9" s="18"/>
      <c r="C9" s="44" t="str">
        <f>FI_Comm!E$13</f>
        <v>ELC_FIN</v>
      </c>
      <c r="D9" s="68" t="s">
        <v>121</v>
      </c>
      <c r="E9" s="68"/>
      <c r="F9" s="45">
        <f>100/GRID!H6</f>
        <v>113.63636363636364</v>
      </c>
    </row>
    <row r="10" spans="2:8" ht="18.75" customHeight="1" x14ac:dyDescent="0.25">
      <c r="B10" s="18"/>
      <c r="C10" s="64" t="str">
        <f>FI_Comm!E$13</f>
        <v>ELC_FIN</v>
      </c>
      <c r="D10" s="77" t="s">
        <v>188</v>
      </c>
      <c r="E10" s="77" t="s">
        <v>190</v>
      </c>
      <c r="F10" s="78">
        <v>0</v>
      </c>
      <c r="H10">
        <f>$F$9*F10</f>
        <v>0</v>
      </c>
    </row>
    <row r="11" spans="2:8" ht="18.75" customHeight="1" x14ac:dyDescent="0.25">
      <c r="B11" s="18"/>
      <c r="C11" s="44" t="str">
        <f>FI_Comm!E$13</f>
        <v>ELC_FIN</v>
      </c>
      <c r="D11" s="68" t="s">
        <v>188</v>
      </c>
      <c r="E11" s="68" t="s">
        <v>191</v>
      </c>
      <c r="F11" s="69">
        <v>0.05</v>
      </c>
      <c r="H11">
        <f t="shared" ref="H11:H17" si="0">$F$9*F11</f>
        <v>5.6818181818181825</v>
      </c>
    </row>
    <row r="12" spans="2:8" ht="18.75" customHeight="1" x14ac:dyDescent="0.25">
      <c r="B12" s="18"/>
      <c r="C12" s="64" t="str">
        <f>FI_Comm!E$13</f>
        <v>ELC_FIN</v>
      </c>
      <c r="D12" s="77" t="s">
        <v>188</v>
      </c>
      <c r="E12" s="77" t="s">
        <v>192</v>
      </c>
      <c r="F12" s="78">
        <v>0.1</v>
      </c>
      <c r="H12">
        <f t="shared" si="0"/>
        <v>11.363636363636365</v>
      </c>
    </row>
    <row r="13" spans="2:8" ht="18.75" customHeight="1" x14ac:dyDescent="0.25">
      <c r="B13" s="18"/>
      <c r="C13" s="44" t="str">
        <f>FI_Comm!E$13</f>
        <v>ELC_FIN</v>
      </c>
      <c r="D13" s="68" t="s">
        <v>188</v>
      </c>
      <c r="E13" s="68" t="s">
        <v>193</v>
      </c>
      <c r="F13" s="69">
        <v>0.15</v>
      </c>
      <c r="H13">
        <f t="shared" si="0"/>
        <v>17.045454545454547</v>
      </c>
    </row>
    <row r="14" spans="2:8" ht="18.75" customHeight="1" x14ac:dyDescent="0.25">
      <c r="B14" s="18"/>
      <c r="C14" s="64" t="str">
        <f>FI_Comm!E$13</f>
        <v>ELC_FIN</v>
      </c>
      <c r="D14" s="77" t="s">
        <v>188</v>
      </c>
      <c r="E14" s="77" t="s">
        <v>194</v>
      </c>
      <c r="F14" s="78">
        <v>0.2</v>
      </c>
      <c r="H14">
        <f t="shared" si="0"/>
        <v>22.72727272727273</v>
      </c>
    </row>
    <row r="15" spans="2:8" ht="18.75" customHeight="1" x14ac:dyDescent="0.25">
      <c r="B15" s="18"/>
      <c r="C15" s="44" t="str">
        <f>FI_Comm!E$13</f>
        <v>ELC_FIN</v>
      </c>
      <c r="D15" s="68" t="s">
        <v>188</v>
      </c>
      <c r="E15" s="68" t="s">
        <v>195</v>
      </c>
      <c r="F15" s="69">
        <v>0.15</v>
      </c>
      <c r="H15">
        <f t="shared" si="0"/>
        <v>17.045454545454547</v>
      </c>
    </row>
    <row r="16" spans="2:8" ht="18.75" customHeight="1" x14ac:dyDescent="0.25">
      <c r="B16" s="18"/>
      <c r="C16" s="64" t="str">
        <f>FI_Comm!E$13</f>
        <v>ELC_FIN</v>
      </c>
      <c r="D16" s="77" t="s">
        <v>188</v>
      </c>
      <c r="E16" s="77" t="s">
        <v>196</v>
      </c>
      <c r="F16" s="78">
        <v>0.2</v>
      </c>
      <c r="H16">
        <f t="shared" si="0"/>
        <v>22.72727272727273</v>
      </c>
    </row>
    <row r="17" spans="2:12" ht="18.75" customHeight="1" thickBot="1" x14ac:dyDescent="0.3">
      <c r="B17" s="18"/>
      <c r="C17" s="79" t="str">
        <f>FI_Comm!E$13</f>
        <v>ELC_FIN</v>
      </c>
      <c r="D17" s="80" t="s">
        <v>188</v>
      </c>
      <c r="E17" s="80" t="s">
        <v>197</v>
      </c>
      <c r="F17" s="81">
        <v>0.15</v>
      </c>
      <c r="H17">
        <f t="shared" si="0"/>
        <v>17.045454545454547</v>
      </c>
      <c r="I17" s="67">
        <f>SUM(F10:F17)</f>
        <v>1</v>
      </c>
    </row>
    <row r="18" spans="2:12" ht="18" customHeight="1" thickTop="1" thickBot="1" x14ac:dyDescent="0.3">
      <c r="B18" s="19"/>
      <c r="C18" s="20"/>
      <c r="D18" s="20"/>
      <c r="E18" s="20"/>
      <c r="F18" s="21"/>
    </row>
    <row r="20" spans="2:12" ht="15.75" thickBot="1" x14ac:dyDescent="0.3"/>
    <row r="21" spans="2:12" ht="16.5" thickBot="1" x14ac:dyDescent="0.3">
      <c r="C21" s="36"/>
      <c r="D21" s="37"/>
      <c r="E21" s="37"/>
      <c r="F21" s="39" t="s">
        <v>41</v>
      </c>
      <c r="G21" s="37"/>
      <c r="H21" s="37"/>
      <c r="I21" s="37"/>
      <c r="J21" s="37"/>
      <c r="K21" s="37"/>
      <c r="L21" s="38"/>
    </row>
    <row r="22" spans="2:12" ht="15.75" thickBot="1" x14ac:dyDescent="0.3">
      <c r="C22" s="40" t="s">
        <v>22</v>
      </c>
      <c r="D22" s="11" t="s">
        <v>136</v>
      </c>
      <c r="E22" s="11" t="s">
        <v>102</v>
      </c>
      <c r="F22" s="11" t="s">
        <v>42</v>
      </c>
      <c r="G22" s="11" t="s">
        <v>105</v>
      </c>
      <c r="H22" s="11" t="s">
        <v>106</v>
      </c>
      <c r="I22" s="11" t="s">
        <v>104</v>
      </c>
      <c r="J22" s="11" t="s">
        <v>107</v>
      </c>
      <c r="K22" s="11" t="s">
        <v>108</v>
      </c>
      <c r="L22" s="41" t="s">
        <v>109</v>
      </c>
    </row>
    <row r="23" spans="2:12" ht="38.25" x14ac:dyDescent="0.25">
      <c r="C23" s="42" t="s">
        <v>43</v>
      </c>
      <c r="D23" s="12" t="s">
        <v>32</v>
      </c>
      <c r="E23" s="12" t="s">
        <v>103</v>
      </c>
      <c r="F23" s="12" t="s">
        <v>44</v>
      </c>
      <c r="G23" s="12" t="s">
        <v>110</v>
      </c>
      <c r="H23" s="12" t="s">
        <v>111</v>
      </c>
      <c r="I23" s="12" t="s">
        <v>112</v>
      </c>
      <c r="J23" s="12" t="s">
        <v>113</v>
      </c>
      <c r="K23" s="12" t="s">
        <v>114</v>
      </c>
      <c r="L23" s="43" t="s">
        <v>115</v>
      </c>
    </row>
    <row r="24" spans="2:12" x14ac:dyDescent="0.25">
      <c r="C24" s="49" t="s">
        <v>50</v>
      </c>
      <c r="D24" s="13"/>
      <c r="E24" s="13"/>
      <c r="F24" s="13"/>
      <c r="G24" s="13" t="s">
        <v>69</v>
      </c>
      <c r="H24" s="13" t="s">
        <v>131</v>
      </c>
      <c r="I24" s="13" t="s">
        <v>122</v>
      </c>
      <c r="J24" s="13" t="s">
        <v>122</v>
      </c>
      <c r="K24" s="13" t="s">
        <v>76</v>
      </c>
      <c r="L24" s="50" t="s">
        <v>75</v>
      </c>
    </row>
    <row r="25" spans="2:12" ht="15.75" thickBot="1" x14ac:dyDescent="0.3">
      <c r="C25" s="66" t="str">
        <f>FI_Process!E19</f>
        <v>DMD_FIN_ELC</v>
      </c>
      <c r="D25" s="66" t="str">
        <f>FI_Process!F19</f>
        <v>Final electricity demand</v>
      </c>
      <c r="E25" s="66" t="str">
        <f>FI_Comm!E12</f>
        <v>ELC_LV</v>
      </c>
      <c r="F25" s="66" t="str">
        <f>FI_Comm!E13</f>
        <v>ELC_FIN</v>
      </c>
      <c r="G25" s="66"/>
      <c r="H25" s="66">
        <v>1</v>
      </c>
      <c r="I25" s="66">
        <v>1</v>
      </c>
      <c r="J25" s="66"/>
      <c r="K25" s="66"/>
      <c r="L25" s="66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Props1.xml><?xml version="1.0" encoding="utf-8"?>
<ds:datastoreItem xmlns:ds="http://schemas.openxmlformats.org/officeDocument/2006/customXml" ds:itemID="{C1D6FCCB-655D-4190-91C8-88E3630C153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C2D764-5B27-4522-8FEB-F224FDBA4C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5776A6-5B40-46C5-9899-357C034833E4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Units</vt:lpstr>
      <vt:lpstr>Introduction</vt:lpstr>
      <vt:lpstr>RES View</vt:lpstr>
      <vt:lpstr>FI_Comm</vt:lpstr>
      <vt:lpstr>FI_Process</vt:lpstr>
      <vt:lpstr>Supply</vt:lpstr>
      <vt:lpstr>Power Plants</vt:lpstr>
      <vt:lpstr>GRID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Raczyński</dc:creator>
  <cp:lastModifiedBy>Maciej Raczyński</cp:lastModifiedBy>
  <dcterms:created xsi:type="dcterms:W3CDTF">2015-06-05T18:17:20Z</dcterms:created>
  <dcterms:modified xsi:type="dcterms:W3CDTF">2025-11-12T07:23:48Z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</Properties>
</file>